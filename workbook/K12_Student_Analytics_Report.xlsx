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KPI Summary" sheetId="2" state="visible" r:id="rId2"/>
    <sheet name="Student Summary" sheetId="3" state="visible" r:id="rId3"/>
    <sheet name="Attendance By Grade" sheetId="4" state="visible" r:id="rId4"/>
    <sheet name="Performance By Subject" sheetId="5" state="visible" r:id="rId5"/>
    <sheet name="Data Dictionary" sheetId="6" state="visible" r:id="rId6"/>
    <sheet name="Quality Summary"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4">
    <font>
      <name val="Calibri"/>
      <family val="2"/>
      <color theme="1"/>
      <sz val="11"/>
      <scheme val="minor"/>
    </font>
    <font>
      <b val="1"/>
      <color rgb="0016324F"/>
      <sz val="13"/>
    </font>
    <font>
      <b val="1"/>
      <color rgb="00FFFFFF"/>
    </font>
    <font>
      <i val="1"/>
      <color rgb="006B7280"/>
    </font>
  </fonts>
  <fills count="3">
    <fill>
      <patternFill/>
    </fill>
    <fill>
      <patternFill patternType="gray125"/>
    </fill>
    <fill>
      <patternFill patternType="solid">
        <fgColor rgb="0016324F"/>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xf numFmtId="1" fontId="0" fillId="0" borderId="0" pivotButton="0" quotePrefix="0" xfId="0"/>
    <xf numFmtId="2" fontId="0" fillId="0" borderId="0" pivotButton="0" quotePrefix="0" xfId="0"/>
    <xf numFmtId="164" fontId="0" fillId="0" borderId="0" pivotButton="0" quotePrefix="0" xfId="0"/>
    <xf numFmtId="165" fontId="0"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StudentSummary" displayName="StudentSummary" ref="A1:P111" headerRowCount="1">
  <autoFilter ref="A1:P111"/>
  <tableColumns count="16">
    <tableColumn id="1" name="Student_ID"/>
    <tableColumn id="2" name="Grade"/>
    <tableColumn id="3" name="Program"/>
    <tableColumn id="4" name="Enrollment_Date"/>
    <tableColumn id="5" name="Days_Enrolled"/>
    <tableColumn id="6" name="Days_Present"/>
    <tableColumn id="7" name="Days_Absent"/>
    <tableColumn id="8" name="Attendance_Rate"/>
    <tableColumn id="9" name="Attendance_Band"/>
    <tableColumn id="10" name="Is_Chronic_Absence"/>
    <tableColumn id="11" name="Assessment"/>
    <tableColumn id="12" name="Assessment_Date"/>
    <tableColumn id="13" name="Score"/>
    <tableColumn id="14" name="Benchmark"/>
    <tableColumn id="15" name="Incidents"/>
    <tableColumn id="16" name="Major_Incident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s="1" t="inlineStr">
        <is>
          <t>K12 Student Analytics Report</t>
        </is>
      </c>
    </row>
    <row r="2">
      <c r="A2" s="2" t="inlineStr"/>
    </row>
    <row r="3">
      <c r="A3" s="1" t="inlineStr">
        <is>
          <t>Purpose</t>
        </is>
      </c>
    </row>
    <row r="4">
      <c r="A4" s="2" t="inlineStr">
        <is>
          <t>This workbook reports the headline results of the K12 student data analytics project in Excel. It is built by scripts/03_build_workbook.py from the processed tables in data/processed, so it can be rebuilt after any data refresh.</t>
        </is>
      </c>
    </row>
    <row r="5">
      <c r="A5" s="2" t="inlineStr"/>
    </row>
    <row r="6">
      <c r="A6" s="1" t="inlineStr">
        <is>
          <t>Analysis population</t>
        </is>
      </c>
    </row>
    <row r="7">
      <c r="A7" s="2" t="inlineStr">
        <is>
          <t>Every sheet describes the same population: the 110 students listed as Active in the student table. Seven Withdrawn students are excluded because their records cover a part year. Two Active students have no attendance row and three have no assessment row, so some averages rest on 108 or 107 students. The KPI Summary notes state the base for each figure.</t>
        </is>
      </c>
    </row>
    <row r="8">
      <c r="A8" s="2" t="inlineStr"/>
    </row>
    <row r="9">
      <c r="A9" s="1" t="inlineStr">
        <is>
          <t>How the sheets work</t>
        </is>
      </c>
    </row>
    <row r="10">
      <c r="A10" s="2" t="inlineStr">
        <is>
          <t>KPI Summary holds live Excel formulas over the Student Summary sheet. Change a value in Student Summary and the KPIs update. Attendance By Grade and Performance By Subject hold values calculated by the build script. They are pivot ready summary tables, ready to chart or to rebuild as PivotTables. They are not PivotTables themselves.</t>
        </is>
      </c>
    </row>
    <row r="11">
      <c r="A11" s="2" t="inlineStr">
        <is>
          <t>The original portfolio workbook, which contains PivotTables built by hand in Excel, is preserved unchanged in workbook/original.</t>
        </is>
      </c>
    </row>
    <row r="12">
      <c r="A12" s="2" t="inlineStr"/>
    </row>
    <row r="13">
      <c r="A13" s="1" t="inlineStr">
        <is>
          <t>Sources</t>
        </is>
      </c>
    </row>
    <row r="14">
      <c r="A14" s="2" t="inlineStr">
        <is>
          <t>The source extracts sit in data/source. The data is simulated practice data for one school, grades 5 to 8, in the 2025 to 2026 school year. It is not data about any real school or any real student.</t>
        </is>
      </c>
    </row>
    <row r="15">
      <c r="A15" s="2" t="inlineStr"/>
    </row>
    <row r="16">
      <c r="A16" s="1" t="inlineStr">
        <is>
          <t>Definitions that matter</t>
        </is>
      </c>
    </row>
    <row r="17">
      <c r="A17" s="2" t="inlineStr">
        <is>
          <t>Met means a score of 70 or above. Below means a score under 70. The chronic absence group is a project definition: an attendance rate below 90 percent. The attendance bands are project categories: below 85 is At Risk, 85 to 89.9 is Needs Monitoring, 90 to 94.9 is On Track, and 95 and above is Strong.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78" customWidth="1" min="3" max="3"/>
  </cols>
  <sheetData>
    <row r="1">
      <c r="A1" s="3" t="inlineStr">
        <is>
          <t>KPI</t>
        </is>
      </c>
      <c r="B1" s="3" t="inlineStr">
        <is>
          <t>Value</t>
        </is>
      </c>
      <c r="C1" s="3" t="inlineStr">
        <is>
          <t>Definition and base</t>
        </is>
      </c>
    </row>
    <row r="2">
      <c r="A2" t="inlineStr">
        <is>
          <t>Total Students</t>
        </is>
      </c>
      <c r="B2" s="4">
        <f>COUNTA('Student Summary'!$A$2:$A$111)</f>
        <v/>
      </c>
      <c r="C2" s="2" t="inlineStr">
        <is>
          <t>Students in the analysis population.</t>
        </is>
      </c>
    </row>
    <row r="3">
      <c r="A3" t="inlineStr">
        <is>
          <t>Students With Attendance</t>
        </is>
      </c>
      <c r="B3" s="4">
        <f>COUNT('Student Summary'!$H$2:$H$111)</f>
        <v/>
      </c>
      <c r="C3" s="2" t="inlineStr">
        <is>
          <t>Students with an attendance rate recorded.</t>
        </is>
      </c>
    </row>
    <row r="4">
      <c r="A4" t="inlineStr">
        <is>
          <t>Average Attendance Rate</t>
        </is>
      </c>
      <c r="B4" s="5">
        <f>AVERAGE('Student Summary'!$H$2:$H$111)</f>
        <v/>
      </c>
      <c r="C4" s="2" t="inlineStr">
        <is>
          <t>Average of individual student rates. Each student counts equally.</t>
        </is>
      </c>
    </row>
    <row r="5">
      <c r="A5" t="inlineStr">
        <is>
          <t>Students With Assessment</t>
        </is>
      </c>
      <c r="B5" s="4">
        <f>COUNT('Student Summary'!$M$2:$M$111)</f>
        <v/>
      </c>
      <c r="C5" s="2" t="inlineStr">
        <is>
          <t>Students with a score recorded.</t>
        </is>
      </c>
    </row>
    <row r="6">
      <c r="A6" t="inlineStr">
        <is>
          <t>Average Score</t>
        </is>
      </c>
      <c r="B6" s="5">
        <f>AVERAGE('Student Summary'!$M$2:$M$111)</f>
        <v/>
      </c>
      <c r="C6" s="2" t="inlineStr">
        <is>
          <t>Average score across assessed students.</t>
        </is>
      </c>
    </row>
    <row r="7">
      <c r="A7" t="inlineStr">
        <is>
          <t>Students Met Benchmark</t>
        </is>
      </c>
      <c r="B7" s="4">
        <f>COUNTIF('Student Summary'!$N$2:$N$111,"Met")</f>
        <v/>
      </c>
      <c r="C7" s="2" t="inlineStr">
        <is>
          <t>Assessed students with a score of 70 or above.</t>
        </is>
      </c>
    </row>
    <row r="8">
      <c r="A8" t="inlineStr">
        <is>
          <t>Students Below Benchmark</t>
        </is>
      </c>
      <c r="B8" s="4">
        <f>COUNTIF('Student Summary'!$N$2:$N$111,"Below")</f>
        <v/>
      </c>
      <c r="C8" s="2" t="inlineStr">
        <is>
          <t>Assessed students with a score under 70.</t>
        </is>
      </c>
    </row>
    <row r="9">
      <c r="A9" t="inlineStr">
        <is>
          <t>Percent Met Benchmark</t>
        </is>
      </c>
      <c r="B9" s="6">
        <f>B7/B5</f>
        <v/>
      </c>
      <c r="C9" s="2" t="inlineStr">
        <is>
          <t>Students Met Benchmark divided by Students With Assessment.</t>
        </is>
      </c>
    </row>
    <row r="10">
      <c r="A10" t="inlineStr">
        <is>
          <t>Chronic Absence Count</t>
        </is>
      </c>
      <c r="B10" s="4">
        <f>COUNTIF('Student Summary'!$J$2:$J$111,"Yes")</f>
        <v/>
      </c>
      <c r="C10" s="2" t="inlineStr">
        <is>
          <t>Students with an attendance rate below 90 percent, the project definition.</t>
        </is>
      </c>
    </row>
    <row r="11">
      <c r="A11" t="inlineStr">
        <is>
          <t>Chronic Absence Rate</t>
        </is>
      </c>
      <c r="B11" s="6">
        <f>B10/B3</f>
        <v/>
      </c>
      <c r="C11" s="2" t="inlineStr">
        <is>
          <t>Chronic Absence Count divided by Students With Attendance.</t>
        </is>
      </c>
    </row>
    <row r="12">
      <c r="A12" t="inlineStr">
        <is>
          <t>Total Incidents</t>
        </is>
      </c>
      <c r="B12" s="4">
        <f>SUM('Student Summary'!$O$2:$O$111)</f>
        <v/>
      </c>
      <c r="C12" s="2" t="inlineStr">
        <is>
          <t>Total discipline incidents across students with a discipline row.</t>
        </is>
      </c>
    </row>
    <row r="13">
      <c r="A13" t="inlineStr">
        <is>
          <t>Students With Incidents</t>
        </is>
      </c>
      <c r="B13" s="4">
        <f>COUNTIF('Student Summary'!$O$2:$O$111,"&gt;0")</f>
        <v/>
      </c>
      <c r="C13" s="2" t="inlineStr">
        <is>
          <t>Students with at least one recorded incident.</t>
        </is>
      </c>
    </row>
    <row r="14">
      <c r="A14" t="inlineStr">
        <is>
          <t>Average Incidents Per Student</t>
        </is>
      </c>
      <c r="B14" s="5">
        <f>B12/COUNT('Student Summary'!$O$2:$O$111)</f>
        <v/>
      </c>
      <c r="C14" s="2" t="inlineStr">
        <is>
          <t>Total Incidents divided by students with a discipline row.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11"/>
  <sheetViews>
    <sheetView workbookViewId="0">
      <pane ySplit="1" topLeftCell="A2" activePane="bottomLeft" state="frozen"/>
      <selection pane="bottomLeft" activeCell="A1" sqref="A1"/>
    </sheetView>
  </sheetViews>
  <sheetFormatPr baseColWidth="8" defaultRowHeight="15"/>
  <cols>
    <col width="12" customWidth="1" min="1" max="1"/>
    <col width="7" customWidth="1" min="2" max="2"/>
    <col width="13" customWidth="1" min="3" max="3"/>
    <col width="15" customWidth="1" min="4" max="4"/>
    <col width="13" customWidth="1" min="5" max="5"/>
    <col width="12" customWidth="1" min="6" max="6"/>
    <col width="12" customWidth="1" min="7" max="7"/>
    <col width="15" customWidth="1" min="8" max="8"/>
    <col width="17" customWidth="1" min="9" max="9"/>
    <col width="17" customWidth="1" min="10" max="10"/>
    <col width="11" customWidth="1" min="11" max="11"/>
    <col width="15" customWidth="1" min="12" max="12"/>
    <col width="8" customWidth="1" min="13" max="13"/>
    <col width="11" customWidth="1" min="14" max="14"/>
    <col width="10" customWidth="1" min="15" max="15"/>
    <col width="15" customWidth="1" min="16" max="16"/>
  </cols>
  <sheetData>
    <row r="1">
      <c r="A1" s="3" t="inlineStr">
        <is>
          <t>Student_ID</t>
        </is>
      </c>
      <c r="B1" s="3" t="inlineStr">
        <is>
          <t>Grade</t>
        </is>
      </c>
      <c r="C1" s="3" t="inlineStr">
        <is>
          <t>Program</t>
        </is>
      </c>
      <c r="D1" s="3" t="inlineStr">
        <is>
          <t>Enrollment_Date</t>
        </is>
      </c>
      <c r="E1" s="3" t="inlineStr">
        <is>
          <t>Days_Enrolled</t>
        </is>
      </c>
      <c r="F1" s="3" t="inlineStr">
        <is>
          <t>Days_Present</t>
        </is>
      </c>
      <c r="G1" s="3" t="inlineStr">
        <is>
          <t>Days_Absent</t>
        </is>
      </c>
      <c r="H1" s="3" t="inlineStr">
        <is>
          <t>Attendance_Rate</t>
        </is>
      </c>
      <c r="I1" s="3" t="inlineStr">
        <is>
          <t>Attendance_Band</t>
        </is>
      </c>
      <c r="J1" s="3" t="inlineStr">
        <is>
          <t>Is_Chronic_Absence</t>
        </is>
      </c>
      <c r="K1" s="3" t="inlineStr">
        <is>
          <t>Assessment</t>
        </is>
      </c>
      <c r="L1" s="3" t="inlineStr">
        <is>
          <t>Assessment_Date</t>
        </is>
      </c>
      <c r="M1" s="3" t="inlineStr">
        <is>
          <t>Score</t>
        </is>
      </c>
      <c r="N1" s="3" t="inlineStr">
        <is>
          <t>Benchmark</t>
        </is>
      </c>
      <c r="O1" s="3" t="inlineStr">
        <is>
          <t>Incidents</t>
        </is>
      </c>
      <c r="P1" s="3" t="inlineStr">
        <is>
          <t>Major_Incidents</t>
        </is>
      </c>
    </row>
    <row r="2">
      <c r="A2" t="inlineStr">
        <is>
          <t>S1000</t>
        </is>
      </c>
      <c r="B2" t="n">
        <v>8</v>
      </c>
      <c r="C2" t="inlineStr">
        <is>
          <t>MTSS Tier 2</t>
        </is>
      </c>
      <c r="D2" s="7" t="n">
        <v>45959</v>
      </c>
      <c r="E2" t="n">
        <v>93</v>
      </c>
      <c r="F2" t="n">
        <v>81</v>
      </c>
      <c r="G2" t="n">
        <v>12</v>
      </c>
      <c r="H2" t="n">
        <v>87.09999999999999</v>
      </c>
      <c r="I2" t="inlineStr">
        <is>
          <t>Needs Monitoring</t>
        </is>
      </c>
      <c r="J2" t="inlineStr">
        <is>
          <t>Yes</t>
        </is>
      </c>
      <c r="K2" t="inlineStr">
        <is>
          <t>Science</t>
        </is>
      </c>
      <c r="L2" s="7" t="n">
        <v>46076</v>
      </c>
      <c r="M2" t="n">
        <v>92</v>
      </c>
      <c r="N2" t="inlineStr">
        <is>
          <t>Met</t>
        </is>
      </c>
      <c r="O2" t="n">
        <v>1</v>
      </c>
      <c r="P2" t="n">
        <v>0</v>
      </c>
    </row>
    <row r="3">
      <c r="A3" t="inlineStr">
        <is>
          <t>S1002</t>
        </is>
      </c>
      <c r="B3" t="n">
        <v>7</v>
      </c>
      <c r="C3" t="inlineStr">
        <is>
          <t>MTSS Tier 1</t>
        </is>
      </c>
      <c r="D3" s="7" t="n">
        <v>45949</v>
      </c>
      <c r="E3" t="n">
        <v>145</v>
      </c>
      <c r="F3" t="n">
        <v>141</v>
      </c>
      <c r="G3" t="n">
        <v>4</v>
      </c>
      <c r="H3" t="n">
        <v>97.2</v>
      </c>
      <c r="I3" t="inlineStr">
        <is>
          <t>Strong</t>
        </is>
      </c>
      <c r="J3" t="inlineStr">
        <is>
          <t>No</t>
        </is>
      </c>
      <c r="K3" t="inlineStr">
        <is>
          <t>Science</t>
        </is>
      </c>
      <c r="L3" s="7" t="n">
        <v>46057</v>
      </c>
      <c r="M3" t="n">
        <v>80</v>
      </c>
      <c r="N3" t="inlineStr">
        <is>
          <t>Met</t>
        </is>
      </c>
      <c r="O3" t="n">
        <v>2</v>
      </c>
      <c r="P3" t="n">
        <v>0</v>
      </c>
    </row>
    <row r="4">
      <c r="A4" t="inlineStr">
        <is>
          <t>S1003</t>
        </is>
      </c>
      <c r="B4" t="n">
        <v>8</v>
      </c>
      <c r="C4" t="inlineStr">
        <is>
          <t>Core</t>
        </is>
      </c>
      <c r="D4" s="7" t="n">
        <v>45951</v>
      </c>
      <c r="E4" t="n">
        <v>106</v>
      </c>
      <c r="F4" t="n">
        <v>106</v>
      </c>
      <c r="G4" t="n">
        <v>0</v>
      </c>
      <c r="H4" t="n">
        <v>100</v>
      </c>
      <c r="I4" t="inlineStr">
        <is>
          <t>Strong</t>
        </is>
      </c>
      <c r="J4" t="inlineStr">
        <is>
          <t>No</t>
        </is>
      </c>
      <c r="K4" t="inlineStr">
        <is>
          <t>Math</t>
        </is>
      </c>
      <c r="L4" s="7" t="n">
        <v>46083</v>
      </c>
      <c r="M4" t="n">
        <v>86</v>
      </c>
      <c r="N4" t="inlineStr">
        <is>
          <t>Met</t>
        </is>
      </c>
      <c r="O4" t="n">
        <v>0</v>
      </c>
      <c r="P4" t="n">
        <v>0</v>
      </c>
    </row>
    <row r="5">
      <c r="A5" t="inlineStr">
        <is>
          <t>S1007</t>
        </is>
      </c>
      <c r="B5" t="n">
        <v>7</v>
      </c>
      <c r="C5" t="inlineStr">
        <is>
          <t>MTSS Tier 2</t>
        </is>
      </c>
      <c r="D5" s="7" t="n">
        <v>45903</v>
      </c>
      <c r="E5" t="n">
        <v>177</v>
      </c>
      <c r="F5" t="n">
        <v>172</v>
      </c>
      <c r="G5" t="n">
        <v>5</v>
      </c>
      <c r="H5" t="n">
        <v>97.2</v>
      </c>
      <c r="I5" t="inlineStr">
        <is>
          <t>Strong</t>
        </is>
      </c>
      <c r="J5" t="inlineStr">
        <is>
          <t>No</t>
        </is>
      </c>
      <c r="L5" s="7" t="n"/>
      <c r="O5" t="n">
        <v>1</v>
      </c>
      <c r="P5" t="n">
        <v>0</v>
      </c>
    </row>
    <row r="6">
      <c r="A6" t="inlineStr">
        <is>
          <t>S1008</t>
        </is>
      </c>
      <c r="B6" t="n">
        <v>7</v>
      </c>
      <c r="C6" t="inlineStr">
        <is>
          <t>MTSS Tier 1</t>
        </is>
      </c>
      <c r="D6" s="7" t="n">
        <v>45956</v>
      </c>
      <c r="K6" t="inlineStr">
        <is>
          <t>Science</t>
        </is>
      </c>
      <c r="L6" s="7" t="n">
        <v>46088</v>
      </c>
      <c r="M6" t="n">
        <v>70</v>
      </c>
      <c r="N6" t="inlineStr">
        <is>
          <t>Met</t>
        </is>
      </c>
      <c r="O6" t="n">
        <v>0</v>
      </c>
      <c r="P6" t="n">
        <v>0</v>
      </c>
    </row>
    <row r="7">
      <c r="A7" t="inlineStr">
        <is>
          <t>S1009</t>
        </is>
      </c>
      <c r="B7" t="n">
        <v>6</v>
      </c>
      <c r="C7" t="inlineStr">
        <is>
          <t>Core</t>
        </is>
      </c>
      <c r="D7" s="7" t="n">
        <v>45905</v>
      </c>
      <c r="E7" t="n">
        <v>123</v>
      </c>
      <c r="F7" t="n">
        <v>101</v>
      </c>
      <c r="G7" t="n">
        <v>22</v>
      </c>
      <c r="H7" t="n">
        <v>82.09999999999999</v>
      </c>
      <c r="I7" t="inlineStr">
        <is>
          <t>At Risk</t>
        </is>
      </c>
      <c r="J7" t="inlineStr">
        <is>
          <t>Yes</t>
        </is>
      </c>
      <c r="K7" t="inlineStr">
        <is>
          <t>Math</t>
        </is>
      </c>
      <c r="L7" s="7" t="n">
        <v>46093</v>
      </c>
      <c r="M7" t="n">
        <v>89</v>
      </c>
      <c r="N7" t="inlineStr">
        <is>
          <t>Met</t>
        </is>
      </c>
      <c r="O7" t="n">
        <v>1</v>
      </c>
      <c r="P7" t="n">
        <v>0</v>
      </c>
    </row>
    <row r="8">
      <c r="A8" t="inlineStr">
        <is>
          <t>S1012</t>
        </is>
      </c>
      <c r="B8" t="n">
        <v>7</v>
      </c>
      <c r="C8" t="inlineStr">
        <is>
          <t>Core</t>
        </is>
      </c>
      <c r="D8" s="7" t="n">
        <v>45977</v>
      </c>
      <c r="E8" t="n">
        <v>155</v>
      </c>
      <c r="F8" t="n">
        <v>145</v>
      </c>
      <c r="G8" t="n">
        <v>10</v>
      </c>
      <c r="H8" t="n">
        <v>93.5</v>
      </c>
      <c r="I8" t="inlineStr">
        <is>
          <t>On Track</t>
        </is>
      </c>
      <c r="J8" t="inlineStr">
        <is>
          <t>No</t>
        </is>
      </c>
      <c r="K8" t="inlineStr">
        <is>
          <t>Math</t>
        </is>
      </c>
      <c r="L8" s="7" t="n">
        <v>46071</v>
      </c>
      <c r="M8" t="n">
        <v>87</v>
      </c>
      <c r="N8" t="inlineStr">
        <is>
          <t>Met</t>
        </is>
      </c>
    </row>
    <row r="9">
      <c r="A9" t="inlineStr">
        <is>
          <t>S1013</t>
        </is>
      </c>
      <c r="B9" t="n">
        <v>8</v>
      </c>
      <c r="C9" t="inlineStr">
        <is>
          <t>Core</t>
        </is>
      </c>
      <c r="D9" s="7" t="n">
        <v>45914</v>
      </c>
      <c r="E9" t="n">
        <v>166</v>
      </c>
      <c r="F9" t="n">
        <v>143</v>
      </c>
      <c r="G9" t="n">
        <v>23</v>
      </c>
      <c r="H9" t="n">
        <v>86.09999999999999</v>
      </c>
      <c r="I9" t="inlineStr">
        <is>
          <t>Needs Monitoring</t>
        </is>
      </c>
      <c r="J9" t="inlineStr">
        <is>
          <t>Yes</t>
        </is>
      </c>
      <c r="K9" t="inlineStr">
        <is>
          <t>Science</t>
        </is>
      </c>
      <c r="L9" s="7" t="n">
        <v>46099</v>
      </c>
      <c r="M9" t="n">
        <v>72</v>
      </c>
      <c r="N9" t="inlineStr">
        <is>
          <t>Met</t>
        </is>
      </c>
      <c r="O9" t="n">
        <v>3</v>
      </c>
      <c r="P9" t="n">
        <v>1</v>
      </c>
    </row>
    <row r="10">
      <c r="A10" t="inlineStr">
        <is>
          <t>S1014</t>
        </is>
      </c>
      <c r="B10" t="n">
        <v>8</v>
      </c>
      <c r="C10" t="inlineStr">
        <is>
          <t>MTSS Tier 1</t>
        </is>
      </c>
      <c r="D10" s="7" t="n">
        <v>45976</v>
      </c>
      <c r="E10" t="n">
        <v>132</v>
      </c>
      <c r="F10" t="n">
        <v>110</v>
      </c>
      <c r="G10" t="n">
        <v>22</v>
      </c>
      <c r="H10" t="n">
        <v>83.3</v>
      </c>
      <c r="I10" t="inlineStr">
        <is>
          <t>At Risk</t>
        </is>
      </c>
      <c r="J10" t="inlineStr">
        <is>
          <t>Yes</t>
        </is>
      </c>
      <c r="K10" t="inlineStr">
        <is>
          <t>Science</t>
        </is>
      </c>
      <c r="L10" s="7" t="n">
        <v>46061</v>
      </c>
      <c r="M10" t="n">
        <v>72</v>
      </c>
      <c r="N10" t="inlineStr">
        <is>
          <t>Met</t>
        </is>
      </c>
      <c r="O10" t="n">
        <v>1</v>
      </c>
      <c r="P10" t="n">
        <v>0</v>
      </c>
    </row>
    <row r="11">
      <c r="A11" t="inlineStr">
        <is>
          <t>S1015</t>
        </is>
      </c>
      <c r="B11" t="n">
        <v>6</v>
      </c>
      <c r="C11" t="inlineStr">
        <is>
          <t>Core</t>
        </is>
      </c>
      <c r="D11" s="7" t="n">
        <v>45918</v>
      </c>
      <c r="E11" t="n">
        <v>164</v>
      </c>
      <c r="F11" t="n">
        <v>156</v>
      </c>
      <c r="G11" t="n">
        <v>8</v>
      </c>
      <c r="H11" t="n">
        <v>95.09999999999999</v>
      </c>
      <c r="I11" t="inlineStr">
        <is>
          <t>Strong</t>
        </is>
      </c>
      <c r="J11" t="inlineStr">
        <is>
          <t>No</t>
        </is>
      </c>
      <c r="K11" t="inlineStr">
        <is>
          <t>ELA</t>
        </is>
      </c>
      <c r="L11" s="7" t="n">
        <v>46126</v>
      </c>
      <c r="M11" t="n">
        <v>79</v>
      </c>
      <c r="N11" t="inlineStr">
        <is>
          <t>Met</t>
        </is>
      </c>
      <c r="O11" t="n">
        <v>0</v>
      </c>
      <c r="P11" t="n">
        <v>0</v>
      </c>
    </row>
    <row r="12">
      <c r="A12" t="inlineStr">
        <is>
          <t>S1016</t>
        </is>
      </c>
      <c r="B12" t="n">
        <v>8</v>
      </c>
      <c r="C12" t="inlineStr">
        <is>
          <t>MTSS Tier 1</t>
        </is>
      </c>
      <c r="D12" s="7" t="n">
        <v>45974</v>
      </c>
      <c r="E12" t="n">
        <v>112</v>
      </c>
      <c r="F12" t="n">
        <v>90</v>
      </c>
      <c r="G12" t="n">
        <v>22</v>
      </c>
      <c r="H12" t="n">
        <v>80.40000000000001</v>
      </c>
      <c r="I12" t="inlineStr">
        <is>
          <t>At Risk</t>
        </is>
      </c>
      <c r="J12" t="inlineStr">
        <is>
          <t>Yes</t>
        </is>
      </c>
      <c r="K12" t="inlineStr">
        <is>
          <t>ELA</t>
        </is>
      </c>
      <c r="L12" s="7" t="n">
        <v>46111</v>
      </c>
      <c r="M12" t="n">
        <v>79</v>
      </c>
      <c r="N12" t="inlineStr">
        <is>
          <t>Met</t>
        </is>
      </c>
      <c r="O12" t="n">
        <v>1</v>
      </c>
      <c r="P12" t="n">
        <v>0</v>
      </c>
    </row>
    <row r="13">
      <c r="A13" t="inlineStr">
        <is>
          <t>S1017</t>
        </is>
      </c>
      <c r="B13" t="n">
        <v>5</v>
      </c>
      <c r="C13" t="inlineStr">
        <is>
          <t>Core</t>
        </is>
      </c>
      <c r="D13" s="7" t="n">
        <v>45978</v>
      </c>
      <c r="E13" t="n">
        <v>144</v>
      </c>
      <c r="F13" t="n">
        <v>142</v>
      </c>
      <c r="G13" t="n">
        <v>2</v>
      </c>
      <c r="H13" t="n">
        <v>98.59999999999999</v>
      </c>
      <c r="I13" t="inlineStr">
        <is>
          <t>Strong</t>
        </is>
      </c>
      <c r="J13" t="inlineStr">
        <is>
          <t>No</t>
        </is>
      </c>
      <c r="K13" t="inlineStr">
        <is>
          <t>Math</t>
        </is>
      </c>
      <c r="L13" s="7" t="n">
        <v>46074</v>
      </c>
      <c r="M13" t="n">
        <v>76</v>
      </c>
      <c r="N13" t="inlineStr">
        <is>
          <t>Met</t>
        </is>
      </c>
      <c r="O13" t="n">
        <v>2</v>
      </c>
      <c r="P13" t="n">
        <v>0</v>
      </c>
    </row>
    <row r="14">
      <c r="A14" t="inlineStr">
        <is>
          <t>S1018</t>
        </is>
      </c>
      <c r="B14" t="n">
        <v>8</v>
      </c>
      <c r="C14" t="inlineStr">
        <is>
          <t>MTSS Tier 1</t>
        </is>
      </c>
      <c r="D14" s="7" t="n">
        <v>45926</v>
      </c>
      <c r="E14" t="n">
        <v>169</v>
      </c>
      <c r="F14" t="n">
        <v>151</v>
      </c>
      <c r="G14" t="n">
        <v>18</v>
      </c>
      <c r="H14" t="n">
        <v>89.3</v>
      </c>
      <c r="I14" t="inlineStr">
        <is>
          <t>Needs Monitoring</t>
        </is>
      </c>
      <c r="J14" t="inlineStr">
        <is>
          <t>Yes</t>
        </is>
      </c>
      <c r="K14" t="inlineStr">
        <is>
          <t>Science</t>
        </is>
      </c>
      <c r="L14" s="7" t="n">
        <v>46038</v>
      </c>
      <c r="M14" t="n">
        <v>60</v>
      </c>
      <c r="N14" t="inlineStr">
        <is>
          <t>Below</t>
        </is>
      </c>
      <c r="O14" t="n">
        <v>4</v>
      </c>
      <c r="P14" t="n">
        <v>1</v>
      </c>
    </row>
    <row r="15">
      <c r="A15" t="inlineStr">
        <is>
          <t>S1019</t>
        </is>
      </c>
      <c r="B15" t="n">
        <v>8</v>
      </c>
      <c r="C15" t="inlineStr">
        <is>
          <t>Core</t>
        </is>
      </c>
      <c r="D15" s="7" t="n">
        <v>45930</v>
      </c>
      <c r="E15" t="n">
        <v>164</v>
      </c>
      <c r="F15" t="n">
        <v>157</v>
      </c>
      <c r="G15" t="n">
        <v>7</v>
      </c>
      <c r="H15" t="n">
        <v>95.7</v>
      </c>
      <c r="I15" t="inlineStr">
        <is>
          <t>Strong</t>
        </is>
      </c>
      <c r="J15" t="inlineStr">
        <is>
          <t>No</t>
        </is>
      </c>
      <c r="L15" s="7" t="n"/>
      <c r="O15" t="n">
        <v>2</v>
      </c>
      <c r="P15" t="n">
        <v>0</v>
      </c>
    </row>
    <row r="16">
      <c r="A16" t="inlineStr">
        <is>
          <t>S1020</t>
        </is>
      </c>
      <c r="B16" t="n">
        <v>5</v>
      </c>
      <c r="C16" t="inlineStr">
        <is>
          <t>Core</t>
        </is>
      </c>
      <c r="D16" s="7" t="n">
        <v>45910</v>
      </c>
      <c r="E16" t="n">
        <v>105</v>
      </c>
      <c r="F16" t="n">
        <v>101</v>
      </c>
      <c r="G16" t="n">
        <v>4</v>
      </c>
      <c r="H16" t="n">
        <v>96.2</v>
      </c>
      <c r="I16" t="inlineStr">
        <is>
          <t>Strong</t>
        </is>
      </c>
      <c r="J16" t="inlineStr">
        <is>
          <t>No</t>
        </is>
      </c>
      <c r="K16" t="inlineStr">
        <is>
          <t>Science</t>
        </is>
      </c>
      <c r="L16" s="7" t="n">
        <v>46118</v>
      </c>
      <c r="M16" t="n">
        <v>100</v>
      </c>
      <c r="N16" t="inlineStr">
        <is>
          <t>Met</t>
        </is>
      </c>
      <c r="O16" t="n">
        <v>2</v>
      </c>
      <c r="P16" t="n">
        <v>1</v>
      </c>
    </row>
    <row r="17">
      <c r="A17" t="inlineStr">
        <is>
          <t>S1021</t>
        </is>
      </c>
      <c r="B17" t="n">
        <v>6</v>
      </c>
      <c r="C17" t="inlineStr">
        <is>
          <t>Core</t>
        </is>
      </c>
      <c r="D17" s="7" t="n">
        <v>45938</v>
      </c>
      <c r="E17" t="n">
        <v>97</v>
      </c>
      <c r="F17" t="n">
        <v>94</v>
      </c>
      <c r="G17" t="n">
        <v>3</v>
      </c>
      <c r="H17" t="n">
        <v>96.90000000000001</v>
      </c>
      <c r="I17" t="inlineStr">
        <is>
          <t>Strong</t>
        </is>
      </c>
      <c r="J17" t="inlineStr">
        <is>
          <t>No</t>
        </is>
      </c>
      <c r="K17" t="inlineStr">
        <is>
          <t>ELA</t>
        </is>
      </c>
      <c r="L17" s="7" t="n">
        <v>46070</v>
      </c>
      <c r="M17" t="n">
        <v>43</v>
      </c>
      <c r="N17" t="inlineStr">
        <is>
          <t>Below</t>
        </is>
      </c>
      <c r="O17" t="n">
        <v>1</v>
      </c>
      <c r="P17" t="n">
        <v>0</v>
      </c>
    </row>
    <row r="18">
      <c r="A18" t="inlineStr">
        <is>
          <t>S1022</t>
        </is>
      </c>
      <c r="B18" t="n">
        <v>5</v>
      </c>
      <c r="C18" t="inlineStr">
        <is>
          <t>MTSS Tier 1</t>
        </is>
      </c>
      <c r="D18" s="7" t="n">
        <v>45910</v>
      </c>
      <c r="E18" t="n">
        <v>93</v>
      </c>
      <c r="F18" t="n">
        <v>70</v>
      </c>
      <c r="G18" t="n">
        <v>23</v>
      </c>
      <c r="H18" t="n">
        <v>75.3</v>
      </c>
      <c r="I18" t="inlineStr">
        <is>
          <t>At Risk</t>
        </is>
      </c>
      <c r="J18" t="inlineStr">
        <is>
          <t>Yes</t>
        </is>
      </c>
      <c r="K18" t="inlineStr">
        <is>
          <t>ELA</t>
        </is>
      </c>
      <c r="L18" s="7" t="n">
        <v>46053</v>
      </c>
      <c r="M18" t="n">
        <v>86</v>
      </c>
      <c r="N18" t="inlineStr">
        <is>
          <t>Met</t>
        </is>
      </c>
      <c r="O18" t="n">
        <v>0</v>
      </c>
      <c r="P18" t="n">
        <v>0</v>
      </c>
    </row>
    <row r="19">
      <c r="A19" t="inlineStr">
        <is>
          <t>S1023</t>
        </is>
      </c>
      <c r="B19" t="n">
        <v>8</v>
      </c>
      <c r="C19" t="inlineStr">
        <is>
          <t>Core</t>
        </is>
      </c>
      <c r="D19" s="7" t="n">
        <v>45960</v>
      </c>
      <c r="E19" t="n">
        <v>93</v>
      </c>
      <c r="F19" t="n">
        <v>88</v>
      </c>
      <c r="G19" t="n">
        <v>5</v>
      </c>
      <c r="H19" t="n">
        <v>94.59999999999999</v>
      </c>
      <c r="I19" t="inlineStr">
        <is>
          <t>On Track</t>
        </is>
      </c>
      <c r="J19" t="inlineStr">
        <is>
          <t>No</t>
        </is>
      </c>
      <c r="K19" t="inlineStr">
        <is>
          <t>Science</t>
        </is>
      </c>
      <c r="L19" s="7" t="n">
        <v>46079</v>
      </c>
      <c r="M19" t="n">
        <v>89</v>
      </c>
      <c r="N19" t="inlineStr">
        <is>
          <t>Met</t>
        </is>
      </c>
      <c r="O19" t="n">
        <v>1</v>
      </c>
      <c r="P19" t="n">
        <v>0</v>
      </c>
    </row>
    <row r="20">
      <c r="A20" t="inlineStr">
        <is>
          <t>S1024</t>
        </is>
      </c>
      <c r="B20" t="n">
        <v>6</v>
      </c>
      <c r="C20" t="inlineStr">
        <is>
          <t>MTSS Tier 3</t>
        </is>
      </c>
      <c r="D20" s="7" t="n">
        <v>45962</v>
      </c>
      <c r="E20" t="n">
        <v>145</v>
      </c>
      <c r="F20" t="n">
        <v>144</v>
      </c>
      <c r="G20" t="n">
        <v>1</v>
      </c>
      <c r="H20" t="n">
        <v>99.3</v>
      </c>
      <c r="I20" t="inlineStr">
        <is>
          <t>Strong</t>
        </is>
      </c>
      <c r="J20" t="inlineStr">
        <is>
          <t>No</t>
        </is>
      </c>
      <c r="K20" t="inlineStr">
        <is>
          <t>Science</t>
        </is>
      </c>
      <c r="L20" s="7" t="n">
        <v>46095</v>
      </c>
      <c r="M20" t="n">
        <v>60</v>
      </c>
      <c r="N20" t="inlineStr">
        <is>
          <t>Below</t>
        </is>
      </c>
      <c r="O20" t="n">
        <v>4</v>
      </c>
      <c r="P20" t="n">
        <v>2</v>
      </c>
    </row>
    <row r="21">
      <c r="A21" t="inlineStr">
        <is>
          <t>S1025</t>
        </is>
      </c>
      <c r="B21" t="n">
        <v>8</v>
      </c>
      <c r="C21" t="inlineStr">
        <is>
          <t>MTSS Tier 2</t>
        </is>
      </c>
      <c r="D21" s="7" t="n">
        <v>45952</v>
      </c>
      <c r="E21" t="n">
        <v>114</v>
      </c>
      <c r="F21" t="n">
        <v>95</v>
      </c>
      <c r="G21" t="n">
        <v>19</v>
      </c>
      <c r="H21" t="n">
        <v>83.3</v>
      </c>
      <c r="I21" t="inlineStr">
        <is>
          <t>At Risk</t>
        </is>
      </c>
      <c r="J21" t="inlineStr">
        <is>
          <t>Yes</t>
        </is>
      </c>
      <c r="K21" t="inlineStr">
        <is>
          <t>Science</t>
        </is>
      </c>
      <c r="L21" s="7" t="n">
        <v>46087</v>
      </c>
      <c r="M21" t="n">
        <v>70</v>
      </c>
      <c r="N21" t="inlineStr">
        <is>
          <t>Met</t>
        </is>
      </c>
      <c r="O21" t="n">
        <v>2</v>
      </c>
      <c r="P21" t="n">
        <v>0</v>
      </c>
    </row>
    <row r="22">
      <c r="A22" t="inlineStr">
        <is>
          <t>S1026</t>
        </is>
      </c>
      <c r="B22" t="n">
        <v>5</v>
      </c>
      <c r="C22" t="inlineStr">
        <is>
          <t>Core</t>
        </is>
      </c>
      <c r="D22" s="7" t="n">
        <v>45930</v>
      </c>
      <c r="E22" t="n">
        <v>156</v>
      </c>
      <c r="F22" t="n">
        <v>146</v>
      </c>
      <c r="G22" t="n">
        <v>10</v>
      </c>
      <c r="H22" t="n">
        <v>93.59999999999999</v>
      </c>
      <c r="I22" t="inlineStr">
        <is>
          <t>On Track</t>
        </is>
      </c>
      <c r="J22" t="inlineStr">
        <is>
          <t>No</t>
        </is>
      </c>
      <c r="K22" t="inlineStr">
        <is>
          <t>ELA</t>
        </is>
      </c>
      <c r="L22" s="7" t="n">
        <v>46090</v>
      </c>
      <c r="M22" t="n">
        <v>64</v>
      </c>
      <c r="N22" t="inlineStr">
        <is>
          <t>Below</t>
        </is>
      </c>
      <c r="O22" t="n">
        <v>0</v>
      </c>
      <c r="P22" t="n">
        <v>0</v>
      </c>
    </row>
    <row r="23">
      <c r="A23" t="inlineStr">
        <is>
          <t>S1027</t>
        </is>
      </c>
      <c r="B23" t="n">
        <v>5</v>
      </c>
      <c r="C23" t="inlineStr">
        <is>
          <t>MTSS Tier 3</t>
        </is>
      </c>
      <c r="D23" s="7" t="n">
        <v>45943</v>
      </c>
      <c r="E23" t="n">
        <v>156</v>
      </c>
      <c r="F23" t="n">
        <v>153</v>
      </c>
      <c r="G23" t="n">
        <v>3</v>
      </c>
      <c r="H23" t="n">
        <v>98.09999999999999</v>
      </c>
      <c r="I23" t="inlineStr">
        <is>
          <t>Strong</t>
        </is>
      </c>
      <c r="J23" t="inlineStr">
        <is>
          <t>No</t>
        </is>
      </c>
      <c r="K23" t="inlineStr">
        <is>
          <t>Science</t>
        </is>
      </c>
      <c r="L23" s="7" t="n">
        <v>46060</v>
      </c>
      <c r="M23" t="n">
        <v>98</v>
      </c>
      <c r="N23" t="inlineStr">
        <is>
          <t>Met</t>
        </is>
      </c>
      <c r="O23" t="n">
        <v>1</v>
      </c>
      <c r="P23" t="n">
        <v>0</v>
      </c>
    </row>
    <row r="24">
      <c r="A24" t="inlineStr">
        <is>
          <t>S1028</t>
        </is>
      </c>
      <c r="B24" t="n">
        <v>8</v>
      </c>
      <c r="C24" t="inlineStr">
        <is>
          <t>Core</t>
        </is>
      </c>
      <c r="D24" s="7" t="n">
        <v>45966</v>
      </c>
      <c r="E24" t="n">
        <v>116</v>
      </c>
      <c r="F24" t="n">
        <v>102</v>
      </c>
      <c r="G24" t="n">
        <v>14</v>
      </c>
      <c r="H24" t="n">
        <v>87.90000000000001</v>
      </c>
      <c r="I24" t="inlineStr">
        <is>
          <t>Needs Monitoring</t>
        </is>
      </c>
      <c r="J24" t="inlineStr">
        <is>
          <t>Yes</t>
        </is>
      </c>
      <c r="K24" t="inlineStr">
        <is>
          <t>Science</t>
        </is>
      </c>
      <c r="L24" s="7" t="n">
        <v>46061</v>
      </c>
      <c r="M24" t="n">
        <v>89</v>
      </c>
      <c r="N24" t="inlineStr">
        <is>
          <t>Met</t>
        </is>
      </c>
      <c r="O24" t="n">
        <v>3</v>
      </c>
      <c r="P24" t="n">
        <v>0</v>
      </c>
    </row>
    <row r="25">
      <c r="A25" t="inlineStr">
        <is>
          <t>S1029</t>
        </is>
      </c>
      <c r="B25" t="n">
        <v>7</v>
      </c>
      <c r="C25" t="inlineStr">
        <is>
          <t>Core</t>
        </is>
      </c>
      <c r="D25" s="7" t="n">
        <v>45929</v>
      </c>
      <c r="E25" t="n">
        <v>121</v>
      </c>
      <c r="F25" t="n">
        <v>116</v>
      </c>
      <c r="G25" t="n">
        <v>5</v>
      </c>
      <c r="H25" t="n">
        <v>95.90000000000001</v>
      </c>
      <c r="I25" t="inlineStr">
        <is>
          <t>Strong</t>
        </is>
      </c>
      <c r="J25" t="inlineStr">
        <is>
          <t>No</t>
        </is>
      </c>
      <c r="K25" t="inlineStr">
        <is>
          <t>Math</t>
        </is>
      </c>
      <c r="L25" s="7" t="n">
        <v>46107</v>
      </c>
      <c r="M25" t="n">
        <v>90</v>
      </c>
      <c r="N25" t="inlineStr">
        <is>
          <t>Met</t>
        </is>
      </c>
      <c r="O25" t="n">
        <v>1</v>
      </c>
      <c r="P25" t="n">
        <v>0</v>
      </c>
    </row>
    <row r="26">
      <c r="A26" t="inlineStr">
        <is>
          <t>S1030</t>
        </is>
      </c>
      <c r="B26" t="n">
        <v>7</v>
      </c>
      <c r="C26" t="inlineStr">
        <is>
          <t>MTSS Tier 1</t>
        </is>
      </c>
      <c r="D26" s="7" t="n">
        <v>45965</v>
      </c>
      <c r="K26" t="inlineStr">
        <is>
          <t>Math</t>
        </is>
      </c>
      <c r="L26" s="7" t="n">
        <v>46088</v>
      </c>
      <c r="M26" t="n">
        <v>77</v>
      </c>
      <c r="N26" t="inlineStr">
        <is>
          <t>Met</t>
        </is>
      </c>
      <c r="O26" t="n">
        <v>3</v>
      </c>
      <c r="P26" t="n">
        <v>1</v>
      </c>
    </row>
    <row r="27">
      <c r="A27" t="inlineStr">
        <is>
          <t>S1031</t>
        </is>
      </c>
      <c r="B27" t="n">
        <v>5</v>
      </c>
      <c r="C27" t="inlineStr">
        <is>
          <t>MTSS Tier 1</t>
        </is>
      </c>
      <c r="D27" s="7" t="n">
        <v>45919</v>
      </c>
      <c r="E27" t="n">
        <v>150</v>
      </c>
      <c r="F27" t="n">
        <v>134</v>
      </c>
      <c r="G27" t="n">
        <v>16</v>
      </c>
      <c r="H27" t="n">
        <v>89.3</v>
      </c>
      <c r="I27" t="inlineStr">
        <is>
          <t>Needs Monitoring</t>
        </is>
      </c>
      <c r="J27" t="inlineStr">
        <is>
          <t>Yes</t>
        </is>
      </c>
      <c r="K27" t="inlineStr">
        <is>
          <t>ELA</t>
        </is>
      </c>
      <c r="L27" s="7" t="n">
        <v>46106</v>
      </c>
      <c r="M27" t="n">
        <v>92</v>
      </c>
      <c r="N27" t="inlineStr">
        <is>
          <t>Met</t>
        </is>
      </c>
      <c r="O27" t="n">
        <v>0</v>
      </c>
      <c r="P27" t="n">
        <v>0</v>
      </c>
    </row>
    <row r="28">
      <c r="A28" t="inlineStr">
        <is>
          <t>S1032</t>
        </is>
      </c>
      <c r="B28" t="n">
        <v>5</v>
      </c>
      <c r="C28" t="inlineStr">
        <is>
          <t>MTSS Tier 1</t>
        </is>
      </c>
      <c r="D28" s="7" t="n">
        <v>45975</v>
      </c>
      <c r="E28" t="n">
        <v>140</v>
      </c>
      <c r="F28" t="n">
        <v>117</v>
      </c>
      <c r="G28" t="n">
        <v>23</v>
      </c>
      <c r="H28" t="n">
        <v>83.59999999999999</v>
      </c>
      <c r="I28" t="inlineStr">
        <is>
          <t>At Risk</t>
        </is>
      </c>
      <c r="J28" t="inlineStr">
        <is>
          <t>Yes</t>
        </is>
      </c>
      <c r="K28" t="inlineStr">
        <is>
          <t>Science</t>
        </is>
      </c>
      <c r="L28" s="7" t="n">
        <v>46124</v>
      </c>
      <c r="M28" t="n">
        <v>76</v>
      </c>
      <c r="N28" t="inlineStr">
        <is>
          <t>Met</t>
        </is>
      </c>
      <c r="O28" t="n">
        <v>1</v>
      </c>
      <c r="P28" t="n">
        <v>0</v>
      </c>
    </row>
    <row r="29">
      <c r="A29" t="inlineStr">
        <is>
          <t>S1033</t>
        </is>
      </c>
      <c r="B29" t="n">
        <v>7</v>
      </c>
      <c r="C29" t="inlineStr">
        <is>
          <t>Core</t>
        </is>
      </c>
      <c r="D29" s="7" t="n">
        <v>45935</v>
      </c>
      <c r="E29" t="n">
        <v>108</v>
      </c>
      <c r="F29" t="n">
        <v>103</v>
      </c>
      <c r="G29" t="n">
        <v>5</v>
      </c>
      <c r="H29" t="n">
        <v>95.40000000000001</v>
      </c>
      <c r="I29" t="inlineStr">
        <is>
          <t>Strong</t>
        </is>
      </c>
      <c r="J29" t="inlineStr">
        <is>
          <t>No</t>
        </is>
      </c>
      <c r="K29" t="inlineStr">
        <is>
          <t>Science</t>
        </is>
      </c>
      <c r="L29" s="7" t="n">
        <v>46069</v>
      </c>
      <c r="M29" t="n">
        <v>92</v>
      </c>
      <c r="N29" t="inlineStr">
        <is>
          <t>Met</t>
        </is>
      </c>
      <c r="O29" t="n">
        <v>1</v>
      </c>
      <c r="P29" t="n">
        <v>0</v>
      </c>
    </row>
    <row r="30">
      <c r="A30" t="inlineStr">
        <is>
          <t>S1034</t>
        </is>
      </c>
      <c r="B30" t="n">
        <v>7</v>
      </c>
      <c r="C30" t="inlineStr">
        <is>
          <t>Core</t>
        </is>
      </c>
      <c r="D30" s="7" t="n">
        <v>45979</v>
      </c>
      <c r="E30" t="n">
        <v>110</v>
      </c>
      <c r="F30" t="n">
        <v>92</v>
      </c>
      <c r="G30" t="n">
        <v>18</v>
      </c>
      <c r="H30" t="n">
        <v>83.59999999999999</v>
      </c>
      <c r="I30" t="inlineStr">
        <is>
          <t>At Risk</t>
        </is>
      </c>
      <c r="J30" t="inlineStr">
        <is>
          <t>Yes</t>
        </is>
      </c>
      <c r="K30" t="inlineStr">
        <is>
          <t>Math</t>
        </is>
      </c>
      <c r="L30" s="7" t="n">
        <v>46085</v>
      </c>
      <c r="M30" t="n">
        <v>74</v>
      </c>
      <c r="N30" t="inlineStr">
        <is>
          <t>Met</t>
        </is>
      </c>
      <c r="O30" t="n">
        <v>2</v>
      </c>
      <c r="P30" t="n">
        <v>0</v>
      </c>
    </row>
    <row r="31">
      <c r="A31" t="inlineStr">
        <is>
          <t>S1035</t>
        </is>
      </c>
      <c r="B31" t="n">
        <v>8</v>
      </c>
      <c r="C31" t="inlineStr">
        <is>
          <t>MTSS Tier 1</t>
        </is>
      </c>
      <c r="D31" s="7" t="n">
        <v>45931</v>
      </c>
      <c r="E31" t="n">
        <v>94</v>
      </c>
      <c r="F31" t="n">
        <v>93</v>
      </c>
      <c r="G31" t="n">
        <v>1</v>
      </c>
      <c r="H31" t="n">
        <v>98.90000000000001</v>
      </c>
      <c r="I31" t="inlineStr">
        <is>
          <t>Strong</t>
        </is>
      </c>
      <c r="J31" t="inlineStr">
        <is>
          <t>No</t>
        </is>
      </c>
      <c r="K31" t="inlineStr">
        <is>
          <t>ELA</t>
        </is>
      </c>
      <c r="L31" s="7" t="n">
        <v>46065</v>
      </c>
      <c r="M31" t="n">
        <v>68</v>
      </c>
      <c r="N31" t="inlineStr">
        <is>
          <t>Below</t>
        </is>
      </c>
      <c r="O31" t="n">
        <v>0</v>
      </c>
      <c r="P31" t="n">
        <v>0</v>
      </c>
    </row>
    <row r="32">
      <c r="A32" t="inlineStr">
        <is>
          <t>S1036</t>
        </is>
      </c>
      <c r="B32" t="n">
        <v>8</v>
      </c>
      <c r="C32" t="inlineStr">
        <is>
          <t>MTSS Tier 2</t>
        </is>
      </c>
      <c r="D32" s="7" t="n">
        <v>45915</v>
      </c>
      <c r="E32" t="n">
        <v>171</v>
      </c>
      <c r="F32" t="n">
        <v>157</v>
      </c>
      <c r="G32" t="n">
        <v>14</v>
      </c>
      <c r="H32" t="n">
        <v>91.8</v>
      </c>
      <c r="I32" t="inlineStr">
        <is>
          <t>On Track</t>
        </is>
      </c>
      <c r="J32" t="inlineStr">
        <is>
          <t>No</t>
        </is>
      </c>
      <c r="K32" t="inlineStr">
        <is>
          <t>Math</t>
        </is>
      </c>
      <c r="L32" s="7" t="n">
        <v>46099</v>
      </c>
      <c r="M32" t="n">
        <v>98</v>
      </c>
      <c r="N32" t="inlineStr">
        <is>
          <t>Met</t>
        </is>
      </c>
      <c r="O32" t="n">
        <v>0</v>
      </c>
      <c r="P32" t="n">
        <v>0</v>
      </c>
    </row>
    <row r="33">
      <c r="A33" t="inlineStr">
        <is>
          <t>S1037</t>
        </is>
      </c>
      <c r="B33" t="n">
        <v>7</v>
      </c>
      <c r="C33" t="inlineStr">
        <is>
          <t>MTSS Tier 1</t>
        </is>
      </c>
      <c r="D33" s="7" t="n">
        <v>45948</v>
      </c>
      <c r="E33" t="n">
        <v>131</v>
      </c>
      <c r="F33" t="n">
        <v>121</v>
      </c>
      <c r="G33" t="n">
        <v>10</v>
      </c>
      <c r="H33" t="n">
        <v>92.40000000000001</v>
      </c>
      <c r="I33" t="inlineStr">
        <is>
          <t>On Track</t>
        </is>
      </c>
      <c r="J33" t="inlineStr">
        <is>
          <t>No</t>
        </is>
      </c>
      <c r="K33" t="inlineStr">
        <is>
          <t>Math</t>
        </is>
      </c>
      <c r="L33" s="7" t="n">
        <v>46058</v>
      </c>
      <c r="M33" t="n">
        <v>76</v>
      </c>
      <c r="N33" t="inlineStr">
        <is>
          <t>Met</t>
        </is>
      </c>
      <c r="O33" t="n">
        <v>0</v>
      </c>
      <c r="P33" t="n">
        <v>0</v>
      </c>
    </row>
    <row r="34">
      <c r="A34" t="inlineStr">
        <is>
          <t>S1038</t>
        </is>
      </c>
      <c r="B34" t="n">
        <v>8</v>
      </c>
      <c r="C34" t="inlineStr">
        <is>
          <t>Core</t>
        </is>
      </c>
      <c r="D34" s="7" t="n">
        <v>45937</v>
      </c>
      <c r="E34" t="n">
        <v>150</v>
      </c>
      <c r="F34" t="n">
        <v>143</v>
      </c>
      <c r="G34" t="n">
        <v>7</v>
      </c>
      <c r="H34" t="n">
        <v>95.3</v>
      </c>
      <c r="I34" t="inlineStr">
        <is>
          <t>Strong</t>
        </is>
      </c>
      <c r="J34" t="inlineStr">
        <is>
          <t>No</t>
        </is>
      </c>
      <c r="K34" t="inlineStr">
        <is>
          <t>Math</t>
        </is>
      </c>
      <c r="L34" s="7" t="n">
        <v>46062</v>
      </c>
      <c r="M34" t="n">
        <v>65</v>
      </c>
      <c r="N34" t="inlineStr">
        <is>
          <t>Below</t>
        </is>
      </c>
      <c r="O34" t="n">
        <v>1</v>
      </c>
      <c r="P34" t="n">
        <v>1</v>
      </c>
    </row>
    <row r="35">
      <c r="A35" t="inlineStr">
        <is>
          <t>S1039</t>
        </is>
      </c>
      <c r="B35" t="n">
        <v>8</v>
      </c>
      <c r="C35" t="inlineStr">
        <is>
          <t>MTSS Tier 1</t>
        </is>
      </c>
      <c r="D35" s="7" t="n">
        <v>45908</v>
      </c>
      <c r="E35" t="n">
        <v>111</v>
      </c>
      <c r="F35" t="n">
        <v>93</v>
      </c>
      <c r="G35" t="n">
        <v>18</v>
      </c>
      <c r="H35" t="n">
        <v>83.8</v>
      </c>
      <c r="I35" t="inlineStr">
        <is>
          <t>At Risk</t>
        </is>
      </c>
      <c r="J35" t="inlineStr">
        <is>
          <t>Yes</t>
        </is>
      </c>
      <c r="K35" t="inlineStr">
        <is>
          <t>Math</t>
        </is>
      </c>
      <c r="L35" s="7" t="n">
        <v>46064</v>
      </c>
      <c r="M35" t="n">
        <v>65</v>
      </c>
      <c r="N35" t="inlineStr">
        <is>
          <t>Below</t>
        </is>
      </c>
      <c r="O35" t="n">
        <v>2</v>
      </c>
      <c r="P35" t="n">
        <v>0</v>
      </c>
    </row>
    <row r="36">
      <c r="A36" t="inlineStr">
        <is>
          <t>S1040</t>
        </is>
      </c>
      <c r="B36" t="n">
        <v>6</v>
      </c>
      <c r="C36" t="inlineStr">
        <is>
          <t>MTSS Tier 1</t>
        </is>
      </c>
      <c r="D36" s="7" t="n">
        <v>45971</v>
      </c>
      <c r="E36" t="n">
        <v>110</v>
      </c>
      <c r="F36" t="n">
        <v>98</v>
      </c>
      <c r="G36" t="n">
        <v>12</v>
      </c>
      <c r="H36" t="n">
        <v>89.09999999999999</v>
      </c>
      <c r="I36" t="inlineStr">
        <is>
          <t>Needs Monitoring</t>
        </is>
      </c>
      <c r="J36" t="inlineStr">
        <is>
          <t>Yes</t>
        </is>
      </c>
      <c r="K36" t="inlineStr">
        <is>
          <t>Science</t>
        </is>
      </c>
      <c r="L36" s="7" t="n">
        <v>46121</v>
      </c>
      <c r="M36" t="n">
        <v>65</v>
      </c>
      <c r="N36" t="inlineStr">
        <is>
          <t>Below</t>
        </is>
      </c>
      <c r="O36" t="n">
        <v>2</v>
      </c>
      <c r="P36" t="n">
        <v>0</v>
      </c>
    </row>
    <row r="37">
      <c r="A37" t="inlineStr">
        <is>
          <t>S1041</t>
        </is>
      </c>
      <c r="B37" t="n">
        <v>8</v>
      </c>
      <c r="C37" t="inlineStr">
        <is>
          <t>Core</t>
        </is>
      </c>
      <c r="D37" s="7" t="n">
        <v>45949</v>
      </c>
      <c r="E37" t="n">
        <v>159</v>
      </c>
      <c r="F37" t="n">
        <v>148</v>
      </c>
      <c r="G37" t="n">
        <v>11</v>
      </c>
      <c r="H37" t="n">
        <v>93.09999999999999</v>
      </c>
      <c r="I37" t="inlineStr">
        <is>
          <t>On Track</t>
        </is>
      </c>
      <c r="J37" t="inlineStr">
        <is>
          <t>No</t>
        </is>
      </c>
      <c r="K37" t="inlineStr">
        <is>
          <t>Science</t>
        </is>
      </c>
      <c r="L37" s="7" t="n">
        <v>46085</v>
      </c>
      <c r="M37" t="n">
        <v>86</v>
      </c>
      <c r="N37" t="inlineStr">
        <is>
          <t>Met</t>
        </is>
      </c>
      <c r="O37" t="n">
        <v>3</v>
      </c>
      <c r="P37" t="n">
        <v>0</v>
      </c>
    </row>
    <row r="38">
      <c r="A38" t="inlineStr">
        <is>
          <t>S1042</t>
        </is>
      </c>
      <c r="B38" t="n">
        <v>5</v>
      </c>
      <c r="C38" t="inlineStr">
        <is>
          <t>Core</t>
        </is>
      </c>
      <c r="D38" s="7" t="n">
        <v>45927</v>
      </c>
      <c r="E38" t="n">
        <v>90</v>
      </c>
      <c r="F38" t="n">
        <v>86</v>
      </c>
      <c r="G38" t="n">
        <v>4</v>
      </c>
      <c r="H38" t="n">
        <v>95.59999999999999</v>
      </c>
      <c r="I38" t="inlineStr">
        <is>
          <t>Strong</t>
        </is>
      </c>
      <c r="J38" t="inlineStr">
        <is>
          <t>No</t>
        </is>
      </c>
      <c r="K38" t="inlineStr">
        <is>
          <t>Math</t>
        </is>
      </c>
      <c r="L38" s="7" t="n">
        <v>46107</v>
      </c>
      <c r="M38" t="n">
        <v>75</v>
      </c>
      <c r="N38" t="inlineStr">
        <is>
          <t>Met</t>
        </is>
      </c>
      <c r="O38" t="n">
        <v>3</v>
      </c>
      <c r="P38" t="n">
        <v>0</v>
      </c>
    </row>
    <row r="39">
      <c r="A39" t="inlineStr">
        <is>
          <t>S1043</t>
        </is>
      </c>
      <c r="B39" t="n">
        <v>8</v>
      </c>
      <c r="C39" t="inlineStr">
        <is>
          <t>Core</t>
        </is>
      </c>
      <c r="D39" s="7" t="n">
        <v>45968</v>
      </c>
      <c r="E39" t="n">
        <v>94</v>
      </c>
      <c r="F39" t="n">
        <v>89</v>
      </c>
      <c r="G39" t="n">
        <v>5</v>
      </c>
      <c r="H39" t="n">
        <v>94.7</v>
      </c>
      <c r="I39" t="inlineStr">
        <is>
          <t>On Track</t>
        </is>
      </c>
      <c r="J39" t="inlineStr">
        <is>
          <t>No</t>
        </is>
      </c>
      <c r="K39" t="inlineStr">
        <is>
          <t>ELA</t>
        </is>
      </c>
      <c r="L39" s="7" t="n">
        <v>46117</v>
      </c>
      <c r="M39" t="n">
        <v>100</v>
      </c>
      <c r="N39" t="inlineStr">
        <is>
          <t>Met</t>
        </is>
      </c>
      <c r="O39" t="n">
        <v>2</v>
      </c>
      <c r="P39" t="n">
        <v>1</v>
      </c>
    </row>
    <row r="40">
      <c r="A40" t="inlineStr">
        <is>
          <t>S1044</t>
        </is>
      </c>
      <c r="B40" t="n">
        <v>8</v>
      </c>
      <c r="C40" t="inlineStr">
        <is>
          <t>Core</t>
        </is>
      </c>
      <c r="D40" s="7" t="n">
        <v>45912</v>
      </c>
      <c r="E40" t="n">
        <v>101</v>
      </c>
      <c r="F40" t="n">
        <v>80</v>
      </c>
      <c r="G40" t="n">
        <v>21</v>
      </c>
      <c r="H40" t="n">
        <v>79.2</v>
      </c>
      <c r="I40" t="inlineStr">
        <is>
          <t>At Risk</t>
        </is>
      </c>
      <c r="J40" t="inlineStr">
        <is>
          <t>Yes</t>
        </is>
      </c>
      <c r="L40" s="7" t="n"/>
      <c r="O40" t="n">
        <v>0</v>
      </c>
      <c r="P40" t="n">
        <v>0</v>
      </c>
    </row>
    <row r="41">
      <c r="A41" t="inlineStr">
        <is>
          <t>S1045</t>
        </is>
      </c>
      <c r="B41" t="n">
        <v>7</v>
      </c>
      <c r="C41" t="inlineStr">
        <is>
          <t>Core</t>
        </is>
      </c>
      <c r="D41" s="7" t="n">
        <v>45958</v>
      </c>
      <c r="E41" t="n">
        <v>179</v>
      </c>
      <c r="F41" t="n">
        <v>176</v>
      </c>
      <c r="G41" t="n">
        <v>3</v>
      </c>
      <c r="H41" t="n">
        <v>98.3</v>
      </c>
      <c r="I41" t="inlineStr">
        <is>
          <t>Strong</t>
        </is>
      </c>
      <c r="J41" t="inlineStr">
        <is>
          <t>No</t>
        </is>
      </c>
      <c r="K41" t="inlineStr">
        <is>
          <t>ELA</t>
        </is>
      </c>
      <c r="L41" s="7" t="n">
        <v>46085</v>
      </c>
      <c r="M41" t="n">
        <v>79</v>
      </c>
      <c r="N41" t="inlineStr">
        <is>
          <t>Met</t>
        </is>
      </c>
      <c r="O41" t="n">
        <v>0</v>
      </c>
      <c r="P41" t="n">
        <v>0</v>
      </c>
    </row>
    <row r="42">
      <c r="A42" t="inlineStr">
        <is>
          <t>S1046</t>
        </is>
      </c>
      <c r="B42" t="n">
        <v>5</v>
      </c>
      <c r="C42" t="inlineStr">
        <is>
          <t>Core</t>
        </is>
      </c>
      <c r="D42" s="7" t="n">
        <v>45932</v>
      </c>
      <c r="E42" t="n">
        <v>135</v>
      </c>
      <c r="F42" t="n">
        <v>117</v>
      </c>
      <c r="G42" t="n">
        <v>18</v>
      </c>
      <c r="H42" t="n">
        <v>86.7</v>
      </c>
      <c r="I42" t="inlineStr">
        <is>
          <t>Needs Monitoring</t>
        </is>
      </c>
      <c r="J42" t="inlineStr">
        <is>
          <t>Yes</t>
        </is>
      </c>
      <c r="K42" t="inlineStr">
        <is>
          <t>ELA</t>
        </is>
      </c>
      <c r="L42" s="7" t="n">
        <v>46056</v>
      </c>
      <c r="M42" t="n">
        <v>93</v>
      </c>
      <c r="N42" t="inlineStr">
        <is>
          <t>Met</t>
        </is>
      </c>
      <c r="O42" t="n">
        <v>1</v>
      </c>
      <c r="P42" t="n">
        <v>0</v>
      </c>
    </row>
    <row r="43">
      <c r="A43" t="inlineStr">
        <is>
          <t>S1047</t>
        </is>
      </c>
      <c r="B43" t="n">
        <v>8</v>
      </c>
      <c r="C43" t="inlineStr">
        <is>
          <t>Core</t>
        </is>
      </c>
      <c r="D43" s="7" t="n">
        <v>45907</v>
      </c>
      <c r="E43" t="n">
        <v>123</v>
      </c>
      <c r="F43" t="n">
        <v>104</v>
      </c>
      <c r="G43" t="n">
        <v>19</v>
      </c>
      <c r="H43" t="n">
        <v>84.59999999999999</v>
      </c>
      <c r="I43" t="inlineStr">
        <is>
          <t>At Risk</t>
        </is>
      </c>
      <c r="J43" t="inlineStr">
        <is>
          <t>Yes</t>
        </is>
      </c>
      <c r="K43" t="inlineStr">
        <is>
          <t>Math</t>
        </is>
      </c>
      <c r="L43" s="7" t="n">
        <v>46122</v>
      </c>
      <c r="M43" t="n">
        <v>70</v>
      </c>
      <c r="N43" t="inlineStr">
        <is>
          <t>Met</t>
        </is>
      </c>
      <c r="O43" t="n">
        <v>1</v>
      </c>
      <c r="P43" t="n">
        <v>0</v>
      </c>
    </row>
    <row r="44">
      <c r="A44" t="inlineStr">
        <is>
          <t>S1048</t>
        </is>
      </c>
      <c r="B44" t="n">
        <v>8</v>
      </c>
      <c r="C44" t="inlineStr">
        <is>
          <t>Core</t>
        </is>
      </c>
      <c r="D44" s="7" t="n">
        <v>45935</v>
      </c>
      <c r="E44" t="n">
        <v>138</v>
      </c>
      <c r="F44" t="n">
        <v>138</v>
      </c>
      <c r="G44" t="n">
        <v>0</v>
      </c>
      <c r="H44" t="n">
        <v>100</v>
      </c>
      <c r="I44" t="inlineStr">
        <is>
          <t>Strong</t>
        </is>
      </c>
      <c r="J44" t="inlineStr">
        <is>
          <t>No</t>
        </is>
      </c>
      <c r="K44" t="inlineStr">
        <is>
          <t>Science</t>
        </is>
      </c>
      <c r="L44" s="7" t="n">
        <v>46099</v>
      </c>
      <c r="M44" t="n">
        <v>54</v>
      </c>
      <c r="N44" t="inlineStr">
        <is>
          <t>Below</t>
        </is>
      </c>
      <c r="O44" t="n">
        <v>1</v>
      </c>
      <c r="P44" t="n">
        <v>0</v>
      </c>
    </row>
    <row r="45">
      <c r="A45" t="inlineStr">
        <is>
          <t>S1050</t>
        </is>
      </c>
      <c r="B45" t="n">
        <v>8</v>
      </c>
      <c r="C45" t="inlineStr">
        <is>
          <t>MTSS Tier 2</t>
        </is>
      </c>
      <c r="D45" s="7" t="n">
        <v>45920</v>
      </c>
      <c r="E45" t="n">
        <v>179</v>
      </c>
      <c r="F45" t="n">
        <v>163</v>
      </c>
      <c r="G45" t="n">
        <v>16</v>
      </c>
      <c r="H45" t="n">
        <v>91.09999999999999</v>
      </c>
      <c r="I45" t="inlineStr">
        <is>
          <t>On Track</t>
        </is>
      </c>
      <c r="J45" t="inlineStr">
        <is>
          <t>No</t>
        </is>
      </c>
      <c r="K45" t="inlineStr">
        <is>
          <t>Math</t>
        </is>
      </c>
      <c r="L45" s="7" t="n">
        <v>46085</v>
      </c>
      <c r="M45" t="n">
        <v>78</v>
      </c>
      <c r="N45" t="inlineStr">
        <is>
          <t>Met</t>
        </is>
      </c>
      <c r="O45" t="n">
        <v>1</v>
      </c>
      <c r="P45" t="n">
        <v>0</v>
      </c>
    </row>
    <row r="46">
      <c r="A46" t="inlineStr">
        <is>
          <t>S1051</t>
        </is>
      </c>
      <c r="B46" t="n">
        <v>8</v>
      </c>
      <c r="C46" t="inlineStr">
        <is>
          <t>Core</t>
        </is>
      </c>
      <c r="D46" s="7" t="n">
        <v>45951</v>
      </c>
      <c r="E46" t="n">
        <v>134</v>
      </c>
      <c r="F46" t="n">
        <v>123</v>
      </c>
      <c r="G46" t="n">
        <v>11</v>
      </c>
      <c r="H46" t="n">
        <v>91.8</v>
      </c>
      <c r="I46" t="inlineStr">
        <is>
          <t>On Track</t>
        </is>
      </c>
      <c r="J46" t="inlineStr">
        <is>
          <t>No</t>
        </is>
      </c>
      <c r="K46" t="inlineStr">
        <is>
          <t>ELA</t>
        </is>
      </c>
      <c r="L46" s="7" t="n">
        <v>46107</v>
      </c>
      <c r="M46" t="n">
        <v>73</v>
      </c>
      <c r="N46" t="inlineStr">
        <is>
          <t>Met</t>
        </is>
      </c>
      <c r="O46" t="n">
        <v>1</v>
      </c>
      <c r="P46" t="n">
        <v>0</v>
      </c>
    </row>
    <row r="47">
      <c r="A47" t="inlineStr">
        <is>
          <t>S1052</t>
        </is>
      </c>
      <c r="B47" t="n">
        <v>6</v>
      </c>
      <c r="C47" t="inlineStr">
        <is>
          <t>MTSS Tier 3</t>
        </is>
      </c>
      <c r="D47" s="7" t="n">
        <v>45913</v>
      </c>
      <c r="E47" t="n">
        <v>116</v>
      </c>
      <c r="F47" t="n">
        <v>102</v>
      </c>
      <c r="G47" t="n">
        <v>14</v>
      </c>
      <c r="H47" t="n">
        <v>87.90000000000001</v>
      </c>
      <c r="I47" t="inlineStr">
        <is>
          <t>Needs Monitoring</t>
        </is>
      </c>
      <c r="J47" t="inlineStr">
        <is>
          <t>Yes</t>
        </is>
      </c>
      <c r="K47" t="inlineStr">
        <is>
          <t>ELA</t>
        </is>
      </c>
      <c r="L47" s="7" t="n">
        <v>46037</v>
      </c>
      <c r="M47" t="n">
        <v>86</v>
      </c>
      <c r="N47" t="inlineStr">
        <is>
          <t>Met</t>
        </is>
      </c>
      <c r="O47" t="n">
        <v>2</v>
      </c>
      <c r="P47" t="n">
        <v>0</v>
      </c>
    </row>
    <row r="48">
      <c r="A48" t="inlineStr">
        <is>
          <t>S1053</t>
        </is>
      </c>
      <c r="B48" t="n">
        <v>7</v>
      </c>
      <c r="C48" t="inlineStr">
        <is>
          <t>MTSS Tier 1</t>
        </is>
      </c>
      <c r="D48" s="7" t="n">
        <v>45928</v>
      </c>
      <c r="E48" t="n">
        <v>162</v>
      </c>
      <c r="F48" t="n">
        <v>162</v>
      </c>
      <c r="G48" t="n">
        <v>0</v>
      </c>
      <c r="H48" t="n">
        <v>100</v>
      </c>
      <c r="I48" t="inlineStr">
        <is>
          <t>Strong</t>
        </is>
      </c>
      <c r="J48" t="inlineStr">
        <is>
          <t>No</t>
        </is>
      </c>
      <c r="K48" t="inlineStr">
        <is>
          <t>Math</t>
        </is>
      </c>
      <c r="L48" s="7" t="n">
        <v>46049</v>
      </c>
      <c r="M48" t="n">
        <v>75</v>
      </c>
      <c r="N48" t="inlineStr">
        <is>
          <t>Met</t>
        </is>
      </c>
      <c r="O48" t="n">
        <v>0</v>
      </c>
      <c r="P48" t="n">
        <v>0</v>
      </c>
    </row>
    <row r="49">
      <c r="A49" t="inlineStr">
        <is>
          <t>S1054</t>
        </is>
      </c>
      <c r="B49" t="n">
        <v>8</v>
      </c>
      <c r="C49" t="inlineStr">
        <is>
          <t>Core</t>
        </is>
      </c>
      <c r="D49" s="7" t="n">
        <v>45965</v>
      </c>
      <c r="E49" t="n">
        <v>115</v>
      </c>
      <c r="F49" t="n">
        <v>102</v>
      </c>
      <c r="G49" t="n">
        <v>13</v>
      </c>
      <c r="H49" t="n">
        <v>88.7</v>
      </c>
      <c r="I49" t="inlineStr">
        <is>
          <t>Needs Monitoring</t>
        </is>
      </c>
      <c r="J49" t="inlineStr">
        <is>
          <t>Yes</t>
        </is>
      </c>
      <c r="K49" t="inlineStr">
        <is>
          <t>Science</t>
        </is>
      </c>
      <c r="L49" s="7" t="n">
        <v>46123</v>
      </c>
      <c r="M49" t="n">
        <v>85</v>
      </c>
      <c r="N49" t="inlineStr">
        <is>
          <t>Met</t>
        </is>
      </c>
      <c r="O49" t="n">
        <v>0</v>
      </c>
      <c r="P49" t="n">
        <v>0</v>
      </c>
    </row>
    <row r="50">
      <c r="A50" t="inlineStr">
        <is>
          <t>S1055</t>
        </is>
      </c>
      <c r="B50" t="n">
        <v>6</v>
      </c>
      <c r="C50" t="inlineStr">
        <is>
          <t>Core</t>
        </is>
      </c>
      <c r="D50" s="7" t="n">
        <v>45961</v>
      </c>
      <c r="E50" t="n">
        <v>136</v>
      </c>
      <c r="F50" t="n">
        <v>131</v>
      </c>
      <c r="G50" t="n">
        <v>5</v>
      </c>
      <c r="H50" t="n">
        <v>96.3</v>
      </c>
      <c r="I50" t="inlineStr">
        <is>
          <t>Strong</t>
        </is>
      </c>
      <c r="J50" t="inlineStr">
        <is>
          <t>No</t>
        </is>
      </c>
      <c r="K50" t="inlineStr">
        <is>
          <t>Science</t>
        </is>
      </c>
      <c r="L50" s="7" t="n">
        <v>46087</v>
      </c>
      <c r="M50" t="n">
        <v>94</v>
      </c>
      <c r="N50" t="inlineStr">
        <is>
          <t>Met</t>
        </is>
      </c>
      <c r="O50" t="n">
        <v>1</v>
      </c>
      <c r="P50" t="n">
        <v>0</v>
      </c>
    </row>
    <row r="51">
      <c r="A51" t="inlineStr">
        <is>
          <t>S1056</t>
        </is>
      </c>
      <c r="B51" t="n">
        <v>5</v>
      </c>
      <c r="C51" t="inlineStr">
        <is>
          <t>Core</t>
        </is>
      </c>
      <c r="D51" s="7" t="n">
        <v>45929</v>
      </c>
      <c r="E51" t="n">
        <v>175</v>
      </c>
      <c r="F51" t="n">
        <v>171</v>
      </c>
      <c r="G51" t="n">
        <v>4</v>
      </c>
      <c r="H51" t="n">
        <v>97.7</v>
      </c>
      <c r="I51" t="inlineStr">
        <is>
          <t>Strong</t>
        </is>
      </c>
      <c r="J51" t="inlineStr">
        <is>
          <t>No</t>
        </is>
      </c>
      <c r="K51" t="inlineStr">
        <is>
          <t>Math</t>
        </is>
      </c>
      <c r="L51" s="7" t="n">
        <v>46092</v>
      </c>
      <c r="M51" t="n">
        <v>74</v>
      </c>
      <c r="N51" t="inlineStr">
        <is>
          <t>Met</t>
        </is>
      </c>
      <c r="O51" t="n">
        <v>0</v>
      </c>
      <c r="P51" t="n">
        <v>0</v>
      </c>
    </row>
    <row r="52">
      <c r="A52" t="inlineStr">
        <is>
          <t>S1057</t>
        </is>
      </c>
      <c r="B52" t="n">
        <v>7</v>
      </c>
      <c r="C52" t="inlineStr">
        <is>
          <t>Core</t>
        </is>
      </c>
      <c r="D52" s="7" t="n">
        <v>45951</v>
      </c>
      <c r="E52" t="n">
        <v>145</v>
      </c>
      <c r="F52" t="n">
        <v>135</v>
      </c>
      <c r="G52" t="n">
        <v>10</v>
      </c>
      <c r="H52" t="n">
        <v>93.09999999999999</v>
      </c>
      <c r="I52" t="inlineStr">
        <is>
          <t>On Track</t>
        </is>
      </c>
      <c r="J52" t="inlineStr">
        <is>
          <t>No</t>
        </is>
      </c>
      <c r="K52" t="inlineStr">
        <is>
          <t>Science</t>
        </is>
      </c>
      <c r="L52" s="7" t="n">
        <v>46119</v>
      </c>
      <c r="M52" t="n">
        <v>83</v>
      </c>
      <c r="N52" t="inlineStr">
        <is>
          <t>Met</t>
        </is>
      </c>
      <c r="O52" t="n">
        <v>1</v>
      </c>
      <c r="P52" t="n">
        <v>0</v>
      </c>
    </row>
    <row r="53">
      <c r="A53" t="inlineStr">
        <is>
          <t>S1058</t>
        </is>
      </c>
      <c r="B53" t="n">
        <v>5</v>
      </c>
      <c r="C53" t="inlineStr">
        <is>
          <t>MTSS Tier 1</t>
        </is>
      </c>
      <c r="D53" s="7" t="n">
        <v>45979</v>
      </c>
      <c r="E53" t="n">
        <v>152</v>
      </c>
      <c r="F53" t="n">
        <v>149</v>
      </c>
      <c r="G53" t="n">
        <v>3</v>
      </c>
      <c r="H53" t="n">
        <v>98</v>
      </c>
      <c r="I53" t="inlineStr">
        <is>
          <t>Strong</t>
        </is>
      </c>
      <c r="J53" t="inlineStr">
        <is>
          <t>No</t>
        </is>
      </c>
      <c r="K53" t="inlineStr">
        <is>
          <t>Math</t>
        </is>
      </c>
      <c r="L53" s="7" t="n">
        <v>46098</v>
      </c>
      <c r="M53" t="n">
        <v>55</v>
      </c>
      <c r="N53" t="inlineStr">
        <is>
          <t>Below</t>
        </is>
      </c>
      <c r="O53" t="n">
        <v>1</v>
      </c>
      <c r="P53" t="n">
        <v>0</v>
      </c>
    </row>
    <row r="54">
      <c r="A54" t="inlineStr">
        <is>
          <t>S1060</t>
        </is>
      </c>
      <c r="B54" t="n">
        <v>6</v>
      </c>
      <c r="C54" t="inlineStr">
        <is>
          <t>Core</t>
        </is>
      </c>
      <c r="D54" s="7" t="n">
        <v>45903</v>
      </c>
      <c r="E54" t="n">
        <v>150</v>
      </c>
      <c r="F54" t="n">
        <v>140</v>
      </c>
      <c r="G54" t="n">
        <v>10</v>
      </c>
      <c r="H54" t="n">
        <v>93.3</v>
      </c>
      <c r="I54" t="inlineStr">
        <is>
          <t>On Track</t>
        </is>
      </c>
      <c r="J54" t="inlineStr">
        <is>
          <t>No</t>
        </is>
      </c>
      <c r="K54" t="inlineStr">
        <is>
          <t>Math</t>
        </is>
      </c>
      <c r="L54" s="7" t="n">
        <v>46066</v>
      </c>
      <c r="M54" t="n">
        <v>61</v>
      </c>
      <c r="N54" t="inlineStr">
        <is>
          <t>Below</t>
        </is>
      </c>
      <c r="O54" t="n">
        <v>0</v>
      </c>
      <c r="P54" t="n">
        <v>0</v>
      </c>
    </row>
    <row r="55">
      <c r="A55" t="inlineStr">
        <is>
          <t>S1061</t>
        </is>
      </c>
      <c r="B55" t="n">
        <v>8</v>
      </c>
      <c r="C55" t="inlineStr">
        <is>
          <t>MTSS Tier 3</t>
        </is>
      </c>
      <c r="D55" s="7" t="n">
        <v>45923</v>
      </c>
      <c r="E55" t="n">
        <v>170</v>
      </c>
      <c r="F55" t="n">
        <v>168</v>
      </c>
      <c r="G55" t="n">
        <v>2</v>
      </c>
      <c r="H55" t="n">
        <v>98.8</v>
      </c>
      <c r="I55" t="inlineStr">
        <is>
          <t>Strong</t>
        </is>
      </c>
      <c r="J55" t="inlineStr">
        <is>
          <t>No</t>
        </is>
      </c>
      <c r="K55" t="inlineStr">
        <is>
          <t>Science</t>
        </is>
      </c>
      <c r="L55" s="7" t="n">
        <v>46065</v>
      </c>
      <c r="M55" t="n">
        <v>78</v>
      </c>
      <c r="N55" t="inlineStr">
        <is>
          <t>Met</t>
        </is>
      </c>
      <c r="O55" t="n">
        <v>2</v>
      </c>
      <c r="P55" t="n">
        <v>0</v>
      </c>
    </row>
    <row r="56">
      <c r="A56" t="inlineStr">
        <is>
          <t>S1062</t>
        </is>
      </c>
      <c r="B56" t="n">
        <v>6</v>
      </c>
      <c r="C56" t="inlineStr">
        <is>
          <t>MTSS Tier 2</t>
        </is>
      </c>
      <c r="D56" s="7" t="n">
        <v>45957</v>
      </c>
      <c r="E56" t="n">
        <v>115</v>
      </c>
      <c r="F56" t="n">
        <v>115</v>
      </c>
      <c r="G56" t="n">
        <v>0</v>
      </c>
      <c r="H56" t="n">
        <v>100</v>
      </c>
      <c r="I56" t="inlineStr">
        <is>
          <t>Strong</t>
        </is>
      </c>
      <c r="J56" t="inlineStr">
        <is>
          <t>No</t>
        </is>
      </c>
      <c r="K56" t="inlineStr">
        <is>
          <t>Math</t>
        </is>
      </c>
      <c r="L56" s="7" t="n">
        <v>46085</v>
      </c>
      <c r="M56" t="n">
        <v>79</v>
      </c>
      <c r="N56" t="inlineStr">
        <is>
          <t>Met</t>
        </is>
      </c>
      <c r="O56" t="n">
        <v>0</v>
      </c>
      <c r="P56" t="n">
        <v>0</v>
      </c>
    </row>
    <row r="57">
      <c r="A57" t="inlineStr">
        <is>
          <t>S1063</t>
        </is>
      </c>
      <c r="B57" t="n">
        <v>6</v>
      </c>
      <c r="C57" t="inlineStr">
        <is>
          <t>Core</t>
        </is>
      </c>
      <c r="D57" s="7" t="n">
        <v>45908</v>
      </c>
      <c r="E57" t="n">
        <v>125</v>
      </c>
      <c r="F57" t="n">
        <v>120</v>
      </c>
      <c r="G57" t="n">
        <v>5</v>
      </c>
      <c r="H57" t="n">
        <v>96</v>
      </c>
      <c r="I57" t="inlineStr">
        <is>
          <t>Strong</t>
        </is>
      </c>
      <c r="J57" t="inlineStr">
        <is>
          <t>No</t>
        </is>
      </c>
      <c r="K57" t="inlineStr">
        <is>
          <t>ELA</t>
        </is>
      </c>
      <c r="L57" s="7" t="n">
        <v>46081</v>
      </c>
      <c r="M57" t="n">
        <v>79</v>
      </c>
      <c r="N57" t="inlineStr">
        <is>
          <t>Met</t>
        </is>
      </c>
      <c r="O57" t="n">
        <v>2</v>
      </c>
      <c r="P57" t="n">
        <v>1</v>
      </c>
    </row>
    <row r="58">
      <c r="A58" t="inlineStr">
        <is>
          <t>S1064</t>
        </is>
      </c>
      <c r="B58" t="n">
        <v>6</v>
      </c>
      <c r="C58" t="inlineStr">
        <is>
          <t>MTSS Tier 3</t>
        </is>
      </c>
      <c r="D58" s="7" t="n">
        <v>45971</v>
      </c>
      <c r="E58" t="n">
        <v>90</v>
      </c>
      <c r="F58" t="n">
        <v>73</v>
      </c>
      <c r="G58" t="n">
        <v>17</v>
      </c>
      <c r="H58" t="n">
        <v>81.09999999999999</v>
      </c>
      <c r="I58" t="inlineStr">
        <is>
          <t>At Risk</t>
        </is>
      </c>
      <c r="J58" t="inlineStr">
        <is>
          <t>Yes</t>
        </is>
      </c>
      <c r="K58" t="inlineStr">
        <is>
          <t>Science</t>
        </is>
      </c>
      <c r="L58" s="7" t="n">
        <v>46066</v>
      </c>
      <c r="M58" t="n">
        <v>70</v>
      </c>
      <c r="N58" t="inlineStr">
        <is>
          <t>Met</t>
        </is>
      </c>
      <c r="O58" t="n">
        <v>2</v>
      </c>
      <c r="P58" t="n">
        <v>0</v>
      </c>
    </row>
    <row r="59">
      <c r="A59" t="inlineStr">
        <is>
          <t>S1065</t>
        </is>
      </c>
      <c r="B59" t="n">
        <v>6</v>
      </c>
      <c r="C59" t="inlineStr">
        <is>
          <t>MTSS Tier 3</t>
        </is>
      </c>
      <c r="D59" s="7" t="n">
        <v>45907</v>
      </c>
      <c r="E59" t="n">
        <v>97</v>
      </c>
      <c r="F59" t="n">
        <v>74</v>
      </c>
      <c r="G59" t="n">
        <v>23</v>
      </c>
      <c r="H59" t="n">
        <v>76.3</v>
      </c>
      <c r="I59" t="inlineStr">
        <is>
          <t>At Risk</t>
        </is>
      </c>
      <c r="J59" t="inlineStr">
        <is>
          <t>Yes</t>
        </is>
      </c>
      <c r="K59" t="inlineStr">
        <is>
          <t>Science</t>
        </is>
      </c>
      <c r="L59" s="7" t="n">
        <v>46052</v>
      </c>
      <c r="M59" t="n">
        <v>100</v>
      </c>
      <c r="N59" t="inlineStr">
        <is>
          <t>Met</t>
        </is>
      </c>
      <c r="O59" t="n">
        <v>2</v>
      </c>
      <c r="P59" t="n">
        <v>0</v>
      </c>
    </row>
    <row r="60">
      <c r="A60" t="inlineStr">
        <is>
          <t>S1066</t>
        </is>
      </c>
      <c r="B60" t="n">
        <v>7</v>
      </c>
      <c r="C60" t="inlineStr">
        <is>
          <t>MTSS Tier 3</t>
        </is>
      </c>
      <c r="D60" s="7" t="n">
        <v>45905</v>
      </c>
      <c r="E60" t="n">
        <v>141</v>
      </c>
      <c r="F60" t="n">
        <v>132</v>
      </c>
      <c r="G60" t="n">
        <v>9</v>
      </c>
      <c r="H60" t="n">
        <v>93.59999999999999</v>
      </c>
      <c r="I60" t="inlineStr">
        <is>
          <t>On Track</t>
        </is>
      </c>
      <c r="J60" t="inlineStr">
        <is>
          <t>No</t>
        </is>
      </c>
      <c r="K60" t="inlineStr">
        <is>
          <t>Science</t>
        </is>
      </c>
      <c r="L60" s="7" t="n">
        <v>46076</v>
      </c>
      <c r="M60" t="n">
        <v>61</v>
      </c>
      <c r="N60" t="inlineStr">
        <is>
          <t>Below</t>
        </is>
      </c>
      <c r="O60" t="n">
        <v>0</v>
      </c>
      <c r="P60" t="n">
        <v>0</v>
      </c>
    </row>
    <row r="61">
      <c r="A61" t="inlineStr">
        <is>
          <t>S1068</t>
        </is>
      </c>
      <c r="B61" t="n">
        <v>5</v>
      </c>
      <c r="C61" t="inlineStr">
        <is>
          <t>MTSS Tier 1</t>
        </is>
      </c>
      <c r="D61" s="7" t="n">
        <v>45925</v>
      </c>
      <c r="E61" t="n">
        <v>136</v>
      </c>
      <c r="F61" t="n">
        <v>114</v>
      </c>
      <c r="G61" t="n">
        <v>22</v>
      </c>
      <c r="H61" t="n">
        <v>83.8</v>
      </c>
      <c r="I61" t="inlineStr">
        <is>
          <t>At Risk</t>
        </is>
      </c>
      <c r="J61" t="inlineStr">
        <is>
          <t>Yes</t>
        </is>
      </c>
      <c r="K61" t="inlineStr">
        <is>
          <t>ELA</t>
        </is>
      </c>
      <c r="L61" s="7" t="n">
        <v>46054</v>
      </c>
      <c r="M61" t="n">
        <v>96</v>
      </c>
      <c r="N61" t="inlineStr">
        <is>
          <t>Met</t>
        </is>
      </c>
      <c r="O61" t="n">
        <v>3</v>
      </c>
      <c r="P61" t="n">
        <v>0</v>
      </c>
    </row>
    <row r="62">
      <c r="A62" t="inlineStr">
        <is>
          <t>S1069</t>
        </is>
      </c>
      <c r="B62" t="n">
        <v>5</v>
      </c>
      <c r="C62" t="inlineStr">
        <is>
          <t>Core</t>
        </is>
      </c>
      <c r="D62" s="7" t="n">
        <v>45955</v>
      </c>
      <c r="E62" t="n">
        <v>145</v>
      </c>
      <c r="F62" t="n">
        <v>136</v>
      </c>
      <c r="G62" t="n">
        <v>9</v>
      </c>
      <c r="H62" t="n">
        <v>93.8</v>
      </c>
      <c r="I62" t="inlineStr">
        <is>
          <t>On Track</t>
        </is>
      </c>
      <c r="J62" t="inlineStr">
        <is>
          <t>No</t>
        </is>
      </c>
      <c r="K62" t="inlineStr">
        <is>
          <t>Science</t>
        </is>
      </c>
      <c r="L62" s="7" t="n">
        <v>46037</v>
      </c>
      <c r="M62" t="n">
        <v>68</v>
      </c>
      <c r="N62" t="inlineStr">
        <is>
          <t>Below</t>
        </is>
      </c>
      <c r="O62" t="n">
        <v>2</v>
      </c>
      <c r="P62" t="n">
        <v>0</v>
      </c>
    </row>
    <row r="63">
      <c r="A63" t="inlineStr">
        <is>
          <t>S1070</t>
        </is>
      </c>
      <c r="B63" t="n">
        <v>8</v>
      </c>
      <c r="C63" t="inlineStr">
        <is>
          <t>MTSS Tier 1</t>
        </is>
      </c>
      <c r="D63" s="7" t="n">
        <v>45939</v>
      </c>
      <c r="E63" t="n">
        <v>175</v>
      </c>
      <c r="F63" t="n">
        <v>164</v>
      </c>
      <c r="G63" t="n">
        <v>11</v>
      </c>
      <c r="H63" t="n">
        <v>93.7</v>
      </c>
      <c r="I63" t="inlineStr">
        <is>
          <t>On Track</t>
        </is>
      </c>
      <c r="J63" t="inlineStr">
        <is>
          <t>No</t>
        </is>
      </c>
      <c r="K63" t="inlineStr">
        <is>
          <t>Science</t>
        </is>
      </c>
      <c r="L63" s="7" t="n">
        <v>46114</v>
      </c>
      <c r="M63" t="n">
        <v>65</v>
      </c>
      <c r="N63" t="inlineStr">
        <is>
          <t>Below</t>
        </is>
      </c>
      <c r="O63" t="n">
        <v>0</v>
      </c>
      <c r="P63" t="n">
        <v>0</v>
      </c>
    </row>
    <row r="64">
      <c r="A64" t="inlineStr">
        <is>
          <t>S1071</t>
        </is>
      </c>
      <c r="B64" t="n">
        <v>5</v>
      </c>
      <c r="C64" t="inlineStr">
        <is>
          <t>MTSS Tier 3</t>
        </is>
      </c>
      <c r="D64" s="7" t="n">
        <v>45976</v>
      </c>
      <c r="E64" t="n">
        <v>103</v>
      </c>
      <c r="F64" t="n">
        <v>102</v>
      </c>
      <c r="G64" t="n">
        <v>1</v>
      </c>
      <c r="H64" t="n">
        <v>99</v>
      </c>
      <c r="I64" t="inlineStr">
        <is>
          <t>Strong</t>
        </is>
      </c>
      <c r="J64" t="inlineStr">
        <is>
          <t>No</t>
        </is>
      </c>
      <c r="K64" t="inlineStr">
        <is>
          <t>Math</t>
        </is>
      </c>
      <c r="L64" s="7" t="n">
        <v>46083</v>
      </c>
      <c r="M64" t="n">
        <v>100</v>
      </c>
      <c r="N64" t="inlineStr">
        <is>
          <t>Met</t>
        </is>
      </c>
      <c r="O64" t="n">
        <v>2</v>
      </c>
      <c r="P64" t="n">
        <v>0</v>
      </c>
    </row>
    <row r="65">
      <c r="A65" t="inlineStr">
        <is>
          <t>S1072</t>
        </is>
      </c>
      <c r="B65" t="n">
        <v>8</v>
      </c>
      <c r="C65" t="inlineStr">
        <is>
          <t>MTSS Tier 1</t>
        </is>
      </c>
      <c r="D65" s="7" t="n">
        <v>45976</v>
      </c>
      <c r="E65" t="n">
        <v>179</v>
      </c>
      <c r="F65" t="n">
        <v>167</v>
      </c>
      <c r="G65" t="n">
        <v>12</v>
      </c>
      <c r="H65" t="n">
        <v>93.3</v>
      </c>
      <c r="I65" t="inlineStr">
        <is>
          <t>On Track</t>
        </is>
      </c>
      <c r="J65" t="inlineStr">
        <is>
          <t>No</t>
        </is>
      </c>
      <c r="K65" t="inlineStr">
        <is>
          <t>Science</t>
        </is>
      </c>
      <c r="L65" s="7" t="n">
        <v>46102</v>
      </c>
      <c r="M65" t="n">
        <v>88</v>
      </c>
      <c r="N65" t="inlineStr">
        <is>
          <t>Met</t>
        </is>
      </c>
      <c r="O65" t="n">
        <v>0</v>
      </c>
      <c r="P65" t="n">
        <v>0</v>
      </c>
    </row>
    <row r="66">
      <c r="A66" t="inlineStr">
        <is>
          <t>S1073</t>
        </is>
      </c>
      <c r="B66" t="n">
        <v>5</v>
      </c>
      <c r="C66" t="inlineStr">
        <is>
          <t>MTSS Tier 2</t>
        </is>
      </c>
      <c r="D66" s="7" t="n">
        <v>45919</v>
      </c>
      <c r="E66" t="n">
        <v>117</v>
      </c>
      <c r="F66" t="n">
        <v>110</v>
      </c>
      <c r="G66" t="n">
        <v>7</v>
      </c>
      <c r="H66" t="n">
        <v>94</v>
      </c>
      <c r="I66" t="inlineStr">
        <is>
          <t>On Track</t>
        </is>
      </c>
      <c r="J66" t="inlineStr">
        <is>
          <t>No</t>
        </is>
      </c>
      <c r="K66" t="inlineStr">
        <is>
          <t>ELA</t>
        </is>
      </c>
      <c r="L66" s="7" t="n">
        <v>46074</v>
      </c>
      <c r="M66" t="n">
        <v>69</v>
      </c>
      <c r="N66" t="inlineStr">
        <is>
          <t>Below</t>
        </is>
      </c>
      <c r="O66" t="n">
        <v>0</v>
      </c>
      <c r="P66" t="n">
        <v>0</v>
      </c>
    </row>
    <row r="67">
      <c r="A67" t="inlineStr">
        <is>
          <t>S1074</t>
        </is>
      </c>
      <c r="B67" t="n">
        <v>6</v>
      </c>
      <c r="C67" t="inlineStr">
        <is>
          <t>MTSS Tier 2</t>
        </is>
      </c>
      <c r="D67" s="7" t="n">
        <v>45980</v>
      </c>
      <c r="E67" t="n">
        <v>176</v>
      </c>
      <c r="F67" t="n">
        <v>175</v>
      </c>
      <c r="G67" t="n">
        <v>1</v>
      </c>
      <c r="H67" t="n">
        <v>99.40000000000001</v>
      </c>
      <c r="I67" t="inlineStr">
        <is>
          <t>Strong</t>
        </is>
      </c>
      <c r="J67" t="inlineStr">
        <is>
          <t>No</t>
        </is>
      </c>
      <c r="K67" t="inlineStr">
        <is>
          <t>ELA</t>
        </is>
      </c>
      <c r="L67" s="7" t="n">
        <v>46087</v>
      </c>
      <c r="M67" t="n">
        <v>79</v>
      </c>
      <c r="N67" t="inlineStr">
        <is>
          <t>Met</t>
        </is>
      </c>
      <c r="O67" t="n">
        <v>0</v>
      </c>
      <c r="P67" t="n">
        <v>0</v>
      </c>
    </row>
    <row r="68">
      <c r="A68" t="inlineStr">
        <is>
          <t>S1075</t>
        </is>
      </c>
      <c r="B68" t="n">
        <v>5</v>
      </c>
      <c r="C68" t="inlineStr">
        <is>
          <t>MTSS Tier 2</t>
        </is>
      </c>
      <c r="D68" s="7" t="n">
        <v>45975</v>
      </c>
      <c r="E68" t="n">
        <v>167</v>
      </c>
      <c r="F68" t="n">
        <v>148</v>
      </c>
      <c r="G68" t="n">
        <v>19</v>
      </c>
      <c r="H68" t="n">
        <v>88.59999999999999</v>
      </c>
      <c r="I68" t="inlineStr">
        <is>
          <t>Needs Monitoring</t>
        </is>
      </c>
      <c r="J68" t="inlineStr">
        <is>
          <t>Yes</t>
        </is>
      </c>
      <c r="K68" t="inlineStr">
        <is>
          <t>ELA</t>
        </is>
      </c>
      <c r="L68" s="7" t="n">
        <v>46099</v>
      </c>
      <c r="M68" t="n">
        <v>99</v>
      </c>
      <c r="N68" t="inlineStr">
        <is>
          <t>Met</t>
        </is>
      </c>
      <c r="O68" t="n">
        <v>2</v>
      </c>
      <c r="P68" t="n">
        <v>0</v>
      </c>
    </row>
    <row r="69">
      <c r="A69" t="inlineStr">
        <is>
          <t>S1076</t>
        </is>
      </c>
      <c r="B69" t="n">
        <v>8</v>
      </c>
      <c r="C69" t="inlineStr">
        <is>
          <t>Core</t>
        </is>
      </c>
      <c r="D69" s="7" t="n">
        <v>45903</v>
      </c>
      <c r="E69" t="n">
        <v>177</v>
      </c>
      <c r="F69" t="n">
        <v>177</v>
      </c>
      <c r="G69" t="n">
        <v>0</v>
      </c>
      <c r="H69" t="n">
        <v>100</v>
      </c>
      <c r="I69" t="inlineStr">
        <is>
          <t>Strong</t>
        </is>
      </c>
      <c r="J69" t="inlineStr">
        <is>
          <t>No</t>
        </is>
      </c>
      <c r="K69" t="inlineStr">
        <is>
          <t>ELA</t>
        </is>
      </c>
      <c r="L69" s="7" t="n">
        <v>46040</v>
      </c>
      <c r="M69" t="n">
        <v>84</v>
      </c>
      <c r="N69" t="inlineStr">
        <is>
          <t>Met</t>
        </is>
      </c>
      <c r="O69" t="n">
        <v>3</v>
      </c>
      <c r="P69" t="n">
        <v>0</v>
      </c>
    </row>
    <row r="70">
      <c r="A70" t="inlineStr">
        <is>
          <t>S1077</t>
        </is>
      </c>
      <c r="B70" t="n">
        <v>8</v>
      </c>
      <c r="C70" t="inlineStr">
        <is>
          <t>Core</t>
        </is>
      </c>
      <c r="D70" s="7" t="n">
        <v>45953</v>
      </c>
      <c r="E70" t="n">
        <v>91</v>
      </c>
      <c r="F70" t="n">
        <v>87</v>
      </c>
      <c r="G70" t="n">
        <v>4</v>
      </c>
      <c r="H70" t="n">
        <v>95.59999999999999</v>
      </c>
      <c r="I70" t="inlineStr">
        <is>
          <t>Strong</t>
        </is>
      </c>
      <c r="J70" t="inlineStr">
        <is>
          <t>No</t>
        </is>
      </c>
      <c r="K70" t="inlineStr">
        <is>
          <t>Science</t>
        </is>
      </c>
      <c r="L70" s="7" t="n">
        <v>46037</v>
      </c>
      <c r="M70" t="n">
        <v>91</v>
      </c>
      <c r="N70" t="inlineStr">
        <is>
          <t>Met</t>
        </is>
      </c>
      <c r="O70" t="n">
        <v>2</v>
      </c>
      <c r="P70" t="n">
        <v>0</v>
      </c>
    </row>
    <row r="71">
      <c r="A71" t="inlineStr">
        <is>
          <t>S1078</t>
        </is>
      </c>
      <c r="B71" t="n">
        <v>8</v>
      </c>
      <c r="C71" t="inlineStr">
        <is>
          <t>Core</t>
        </is>
      </c>
      <c r="D71" s="7" t="n">
        <v>45947</v>
      </c>
      <c r="E71" t="n">
        <v>115</v>
      </c>
      <c r="F71" t="n">
        <v>107</v>
      </c>
      <c r="G71" t="n">
        <v>8</v>
      </c>
      <c r="H71" t="n">
        <v>93</v>
      </c>
      <c r="I71" t="inlineStr">
        <is>
          <t>On Track</t>
        </is>
      </c>
      <c r="J71" t="inlineStr">
        <is>
          <t>No</t>
        </is>
      </c>
      <c r="K71" t="inlineStr">
        <is>
          <t>Science</t>
        </is>
      </c>
      <c r="L71" s="7" t="n">
        <v>46044</v>
      </c>
      <c r="M71" t="n">
        <v>86</v>
      </c>
      <c r="N71" t="inlineStr">
        <is>
          <t>Met</t>
        </is>
      </c>
      <c r="O71" t="n">
        <v>0</v>
      </c>
      <c r="P71" t="n">
        <v>0</v>
      </c>
    </row>
    <row r="72">
      <c r="A72" t="inlineStr">
        <is>
          <t>S1079</t>
        </is>
      </c>
      <c r="B72" t="n">
        <v>8</v>
      </c>
      <c r="C72" t="inlineStr">
        <is>
          <t>MTSS Tier 2</t>
        </is>
      </c>
      <c r="D72" s="7" t="n">
        <v>45979</v>
      </c>
      <c r="E72" t="n">
        <v>103</v>
      </c>
      <c r="F72" t="n">
        <v>87</v>
      </c>
      <c r="G72" t="n">
        <v>16</v>
      </c>
      <c r="H72" t="n">
        <v>84.5</v>
      </c>
      <c r="I72" t="inlineStr">
        <is>
          <t>At Risk</t>
        </is>
      </c>
      <c r="J72" t="inlineStr">
        <is>
          <t>Yes</t>
        </is>
      </c>
      <c r="K72" t="inlineStr">
        <is>
          <t>ELA</t>
        </is>
      </c>
      <c r="L72" s="7" t="n">
        <v>46065</v>
      </c>
      <c r="M72" t="n">
        <v>87</v>
      </c>
      <c r="N72" t="inlineStr">
        <is>
          <t>Met</t>
        </is>
      </c>
      <c r="O72" t="n">
        <v>2</v>
      </c>
      <c r="P72" t="n">
        <v>0</v>
      </c>
    </row>
    <row r="73">
      <c r="A73" t="inlineStr">
        <is>
          <t>S1080</t>
        </is>
      </c>
      <c r="B73" t="n">
        <v>8</v>
      </c>
      <c r="C73" t="inlineStr">
        <is>
          <t>Core</t>
        </is>
      </c>
      <c r="D73" s="7" t="n">
        <v>45906</v>
      </c>
      <c r="E73" t="n">
        <v>148</v>
      </c>
      <c r="F73" t="n">
        <v>140</v>
      </c>
      <c r="G73" t="n">
        <v>8</v>
      </c>
      <c r="H73" t="n">
        <v>94.59999999999999</v>
      </c>
      <c r="I73" t="inlineStr">
        <is>
          <t>On Track</t>
        </is>
      </c>
      <c r="J73" t="inlineStr">
        <is>
          <t>No</t>
        </is>
      </c>
      <c r="K73" t="inlineStr">
        <is>
          <t>ELA</t>
        </is>
      </c>
      <c r="L73" s="7" t="n">
        <v>46091</v>
      </c>
      <c r="M73" t="n">
        <v>76</v>
      </c>
      <c r="N73" t="inlineStr">
        <is>
          <t>Met</t>
        </is>
      </c>
      <c r="O73" t="n">
        <v>5</v>
      </c>
      <c r="P73" t="n">
        <v>1</v>
      </c>
    </row>
    <row r="74">
      <c r="A74" t="inlineStr">
        <is>
          <t>S1081</t>
        </is>
      </c>
      <c r="B74" t="n">
        <v>7</v>
      </c>
      <c r="C74" t="inlineStr">
        <is>
          <t>Core</t>
        </is>
      </c>
      <c r="D74" s="7" t="n">
        <v>45964</v>
      </c>
      <c r="E74" t="n">
        <v>145</v>
      </c>
      <c r="F74" t="n">
        <v>135</v>
      </c>
      <c r="G74" t="n">
        <v>10</v>
      </c>
      <c r="H74" t="n">
        <v>93.09999999999999</v>
      </c>
      <c r="I74" t="inlineStr">
        <is>
          <t>On Track</t>
        </is>
      </c>
      <c r="J74" t="inlineStr">
        <is>
          <t>No</t>
        </is>
      </c>
      <c r="K74" t="inlineStr">
        <is>
          <t>Science</t>
        </is>
      </c>
      <c r="L74" s="7" t="n">
        <v>46039</v>
      </c>
      <c r="M74" t="n">
        <v>76</v>
      </c>
      <c r="N74" t="inlineStr">
        <is>
          <t>Met</t>
        </is>
      </c>
      <c r="O74" t="n">
        <v>1</v>
      </c>
      <c r="P74" t="n">
        <v>0</v>
      </c>
    </row>
    <row r="75">
      <c r="A75" t="inlineStr">
        <is>
          <t>S1082</t>
        </is>
      </c>
      <c r="B75" t="n">
        <v>7</v>
      </c>
      <c r="C75" t="inlineStr">
        <is>
          <t>Core</t>
        </is>
      </c>
      <c r="D75" s="7" t="n">
        <v>45967</v>
      </c>
      <c r="E75" t="n">
        <v>96</v>
      </c>
      <c r="F75" t="n">
        <v>82</v>
      </c>
      <c r="G75" t="n">
        <v>14</v>
      </c>
      <c r="H75" t="n">
        <v>85.40000000000001</v>
      </c>
      <c r="I75" t="inlineStr">
        <is>
          <t>Needs Monitoring</t>
        </is>
      </c>
      <c r="J75" t="inlineStr">
        <is>
          <t>Yes</t>
        </is>
      </c>
      <c r="K75" t="inlineStr">
        <is>
          <t>ELA</t>
        </is>
      </c>
      <c r="L75" s="7" t="n">
        <v>46068</v>
      </c>
      <c r="M75" t="n">
        <v>79</v>
      </c>
      <c r="N75" t="inlineStr">
        <is>
          <t>Met</t>
        </is>
      </c>
      <c r="O75" t="n">
        <v>2</v>
      </c>
      <c r="P75" t="n">
        <v>0</v>
      </c>
    </row>
    <row r="76">
      <c r="A76" t="inlineStr">
        <is>
          <t>S1083</t>
        </is>
      </c>
      <c r="B76" t="n">
        <v>5</v>
      </c>
      <c r="C76" t="inlineStr">
        <is>
          <t>MTSS Tier 1</t>
        </is>
      </c>
      <c r="D76" s="7" t="n">
        <v>45934</v>
      </c>
      <c r="E76" t="n">
        <v>92</v>
      </c>
      <c r="F76" t="n">
        <v>69</v>
      </c>
      <c r="G76" t="n">
        <v>23</v>
      </c>
      <c r="H76" t="n">
        <v>75</v>
      </c>
      <c r="I76" t="inlineStr">
        <is>
          <t>At Risk</t>
        </is>
      </c>
      <c r="J76" t="inlineStr">
        <is>
          <t>Yes</t>
        </is>
      </c>
      <c r="K76" t="inlineStr">
        <is>
          <t>Math</t>
        </is>
      </c>
      <c r="L76" s="7" t="n">
        <v>46046</v>
      </c>
      <c r="M76" t="n">
        <v>85</v>
      </c>
      <c r="N76" t="inlineStr">
        <is>
          <t>Met</t>
        </is>
      </c>
      <c r="O76" t="n">
        <v>3</v>
      </c>
      <c r="P76" t="n">
        <v>0</v>
      </c>
    </row>
    <row r="77">
      <c r="A77" t="inlineStr">
        <is>
          <t>S1084</t>
        </is>
      </c>
      <c r="B77" t="n">
        <v>8</v>
      </c>
      <c r="C77" t="inlineStr">
        <is>
          <t>MTSS Tier 2</t>
        </is>
      </c>
      <c r="D77" s="7" t="n">
        <v>45936</v>
      </c>
      <c r="E77" t="n">
        <v>112</v>
      </c>
      <c r="F77" t="n">
        <v>107</v>
      </c>
      <c r="G77" t="n">
        <v>5</v>
      </c>
      <c r="H77" t="n">
        <v>95.5</v>
      </c>
      <c r="I77" t="inlineStr">
        <is>
          <t>Strong</t>
        </is>
      </c>
      <c r="J77" t="inlineStr">
        <is>
          <t>No</t>
        </is>
      </c>
      <c r="K77" t="inlineStr">
        <is>
          <t>ELA</t>
        </is>
      </c>
      <c r="L77" s="7" t="n">
        <v>46110</v>
      </c>
      <c r="M77" t="n">
        <v>73</v>
      </c>
      <c r="N77" t="inlineStr">
        <is>
          <t>Met</t>
        </is>
      </c>
      <c r="O77" t="n">
        <v>1</v>
      </c>
      <c r="P77" t="n">
        <v>0</v>
      </c>
    </row>
    <row r="78">
      <c r="A78" t="inlineStr">
        <is>
          <t>S1085</t>
        </is>
      </c>
      <c r="B78" t="n">
        <v>5</v>
      </c>
      <c r="C78" t="inlineStr">
        <is>
          <t>MTSS Tier 2</t>
        </is>
      </c>
      <c r="D78" s="7" t="n">
        <v>45974</v>
      </c>
      <c r="E78" t="n">
        <v>107</v>
      </c>
      <c r="F78" t="n">
        <v>85</v>
      </c>
      <c r="G78" t="n">
        <v>22</v>
      </c>
      <c r="H78" t="n">
        <v>79.40000000000001</v>
      </c>
      <c r="I78" t="inlineStr">
        <is>
          <t>At Risk</t>
        </is>
      </c>
      <c r="J78" t="inlineStr">
        <is>
          <t>Yes</t>
        </is>
      </c>
      <c r="K78" t="inlineStr">
        <is>
          <t>ELA</t>
        </is>
      </c>
      <c r="L78" s="7" t="n">
        <v>46119</v>
      </c>
      <c r="M78" t="n">
        <v>77</v>
      </c>
      <c r="N78" t="inlineStr">
        <is>
          <t>Met</t>
        </is>
      </c>
      <c r="O78" t="n">
        <v>0</v>
      </c>
      <c r="P78" t="n">
        <v>0</v>
      </c>
    </row>
    <row r="79">
      <c r="A79" t="inlineStr">
        <is>
          <t>S1086</t>
        </is>
      </c>
      <c r="B79" t="n">
        <v>8</v>
      </c>
      <c r="C79" t="inlineStr">
        <is>
          <t>Core</t>
        </is>
      </c>
      <c r="D79" s="7" t="n">
        <v>45941</v>
      </c>
      <c r="E79" t="n">
        <v>127</v>
      </c>
      <c r="F79" t="n">
        <v>125</v>
      </c>
      <c r="G79" t="n">
        <v>2</v>
      </c>
      <c r="H79" t="n">
        <v>98.40000000000001</v>
      </c>
      <c r="I79" t="inlineStr">
        <is>
          <t>Strong</t>
        </is>
      </c>
      <c r="J79" t="inlineStr">
        <is>
          <t>No</t>
        </is>
      </c>
      <c r="K79" t="inlineStr">
        <is>
          <t>Math</t>
        </is>
      </c>
      <c r="L79" s="7" t="n">
        <v>46070</v>
      </c>
      <c r="M79" t="n">
        <v>72</v>
      </c>
      <c r="N79" t="inlineStr">
        <is>
          <t>Met</t>
        </is>
      </c>
      <c r="O79" t="n">
        <v>0</v>
      </c>
      <c r="P79" t="n">
        <v>0</v>
      </c>
    </row>
    <row r="80">
      <c r="A80" t="inlineStr">
        <is>
          <t>S1087</t>
        </is>
      </c>
      <c r="B80" t="n">
        <v>8</v>
      </c>
      <c r="C80" t="inlineStr">
        <is>
          <t>MTSS Tier 2</t>
        </is>
      </c>
      <c r="D80" s="7" t="n">
        <v>45928</v>
      </c>
      <c r="E80" t="n">
        <v>104</v>
      </c>
      <c r="F80" t="n">
        <v>88</v>
      </c>
      <c r="G80" t="n">
        <v>16</v>
      </c>
      <c r="H80" t="n">
        <v>84.59999999999999</v>
      </c>
      <c r="I80" t="inlineStr">
        <is>
          <t>At Risk</t>
        </is>
      </c>
      <c r="J80" t="inlineStr">
        <is>
          <t>Yes</t>
        </is>
      </c>
      <c r="K80" t="inlineStr">
        <is>
          <t>Math</t>
        </is>
      </c>
      <c r="L80" s="7" t="n">
        <v>46123</v>
      </c>
      <c r="M80" t="n">
        <v>77</v>
      </c>
      <c r="N80" t="inlineStr">
        <is>
          <t>Met</t>
        </is>
      </c>
      <c r="O80" t="n">
        <v>0</v>
      </c>
      <c r="P80" t="n">
        <v>0</v>
      </c>
    </row>
    <row r="81">
      <c r="A81" t="inlineStr">
        <is>
          <t>S1088</t>
        </is>
      </c>
      <c r="B81" t="n">
        <v>7</v>
      </c>
      <c r="C81" t="inlineStr">
        <is>
          <t>MTSS Tier 1</t>
        </is>
      </c>
      <c r="D81" s="7" t="n">
        <v>45936</v>
      </c>
      <c r="E81" t="n">
        <v>153</v>
      </c>
      <c r="F81" t="n">
        <v>149</v>
      </c>
      <c r="G81" t="n">
        <v>4</v>
      </c>
      <c r="H81" t="n">
        <v>97.40000000000001</v>
      </c>
      <c r="I81" t="inlineStr">
        <is>
          <t>Strong</t>
        </is>
      </c>
      <c r="J81" t="inlineStr">
        <is>
          <t>No</t>
        </is>
      </c>
      <c r="K81" t="inlineStr">
        <is>
          <t>Science</t>
        </is>
      </c>
      <c r="L81" s="7" t="n">
        <v>46091</v>
      </c>
      <c r="M81" t="n">
        <v>61</v>
      </c>
      <c r="N81" t="inlineStr">
        <is>
          <t>Below</t>
        </is>
      </c>
      <c r="O81" t="n">
        <v>1</v>
      </c>
      <c r="P81" t="n">
        <v>1</v>
      </c>
    </row>
    <row r="82">
      <c r="A82" t="inlineStr">
        <is>
          <t>S1089</t>
        </is>
      </c>
      <c r="B82" t="n">
        <v>7</v>
      </c>
      <c r="C82" t="inlineStr">
        <is>
          <t>Core</t>
        </is>
      </c>
      <c r="D82" s="7" t="n">
        <v>45956</v>
      </c>
      <c r="E82" t="n">
        <v>178</v>
      </c>
      <c r="F82" t="n">
        <v>167</v>
      </c>
      <c r="G82" t="n">
        <v>11</v>
      </c>
      <c r="H82" t="n">
        <v>93.8</v>
      </c>
      <c r="I82" t="inlineStr">
        <is>
          <t>On Track</t>
        </is>
      </c>
      <c r="J82" t="inlineStr">
        <is>
          <t>No</t>
        </is>
      </c>
      <c r="K82" t="inlineStr">
        <is>
          <t>Science</t>
        </is>
      </c>
      <c r="L82" s="7" t="n">
        <v>46068</v>
      </c>
      <c r="M82" t="n">
        <v>100</v>
      </c>
      <c r="N82" t="inlineStr">
        <is>
          <t>Met</t>
        </is>
      </c>
      <c r="O82" t="n">
        <v>0</v>
      </c>
      <c r="P82" t="n">
        <v>0</v>
      </c>
    </row>
    <row r="83">
      <c r="A83" t="inlineStr">
        <is>
          <t>S1090</t>
        </is>
      </c>
      <c r="B83" t="n">
        <v>6</v>
      </c>
      <c r="C83" t="inlineStr">
        <is>
          <t>MTSS Tier 1</t>
        </is>
      </c>
      <c r="D83" s="7" t="n">
        <v>45905</v>
      </c>
      <c r="E83" t="n">
        <v>117</v>
      </c>
      <c r="F83" t="n">
        <v>100</v>
      </c>
      <c r="G83" t="n">
        <v>17</v>
      </c>
      <c r="H83" t="n">
        <v>85.5</v>
      </c>
      <c r="I83" t="inlineStr">
        <is>
          <t>Needs Monitoring</t>
        </is>
      </c>
      <c r="J83" t="inlineStr">
        <is>
          <t>Yes</t>
        </is>
      </c>
      <c r="K83" t="inlineStr">
        <is>
          <t>Math</t>
        </is>
      </c>
      <c r="L83" s="7" t="n">
        <v>46086</v>
      </c>
      <c r="M83" t="n">
        <v>67</v>
      </c>
      <c r="N83" t="inlineStr">
        <is>
          <t>Below</t>
        </is>
      </c>
      <c r="O83" t="n">
        <v>1</v>
      </c>
      <c r="P83" t="n">
        <v>0</v>
      </c>
    </row>
    <row r="84">
      <c r="A84" t="inlineStr">
        <is>
          <t>S1091</t>
        </is>
      </c>
      <c r="B84" t="n">
        <v>7</v>
      </c>
      <c r="C84" t="inlineStr">
        <is>
          <t>Core</t>
        </is>
      </c>
      <c r="D84" s="7" t="n">
        <v>45952</v>
      </c>
      <c r="E84" t="n">
        <v>163</v>
      </c>
      <c r="F84" t="n">
        <v>150</v>
      </c>
      <c r="G84" t="n">
        <v>13</v>
      </c>
      <c r="H84" t="n">
        <v>92</v>
      </c>
      <c r="I84" t="inlineStr">
        <is>
          <t>On Track</t>
        </is>
      </c>
      <c r="J84" t="inlineStr">
        <is>
          <t>No</t>
        </is>
      </c>
      <c r="K84" t="inlineStr">
        <is>
          <t>Math</t>
        </is>
      </c>
      <c r="L84" s="7" t="n">
        <v>46043</v>
      </c>
      <c r="M84" t="n">
        <v>72</v>
      </c>
      <c r="N84" t="inlineStr">
        <is>
          <t>Met</t>
        </is>
      </c>
      <c r="O84" t="n">
        <v>2</v>
      </c>
      <c r="P84" t="n">
        <v>0</v>
      </c>
    </row>
    <row r="85">
      <c r="A85" t="inlineStr">
        <is>
          <t>S1092</t>
        </is>
      </c>
      <c r="B85" t="n">
        <v>6</v>
      </c>
      <c r="C85" t="inlineStr">
        <is>
          <t>Core</t>
        </is>
      </c>
      <c r="D85" s="7" t="n">
        <v>45914</v>
      </c>
      <c r="E85" t="n">
        <v>128</v>
      </c>
      <c r="F85" t="n">
        <v>108</v>
      </c>
      <c r="G85" t="n">
        <v>20</v>
      </c>
      <c r="H85" t="n">
        <v>84.40000000000001</v>
      </c>
      <c r="I85" t="inlineStr">
        <is>
          <t>At Risk</t>
        </is>
      </c>
      <c r="J85" t="inlineStr">
        <is>
          <t>Yes</t>
        </is>
      </c>
      <c r="K85" t="inlineStr">
        <is>
          <t>Science</t>
        </is>
      </c>
      <c r="L85" s="7" t="n">
        <v>46044</v>
      </c>
      <c r="M85" t="n">
        <v>66</v>
      </c>
      <c r="N85" t="inlineStr">
        <is>
          <t>Below</t>
        </is>
      </c>
      <c r="O85" t="n">
        <v>1</v>
      </c>
      <c r="P85" t="n">
        <v>1</v>
      </c>
    </row>
    <row r="86">
      <c r="A86" t="inlineStr">
        <is>
          <t>S1093</t>
        </is>
      </c>
      <c r="B86" t="n">
        <v>6</v>
      </c>
      <c r="C86" t="inlineStr">
        <is>
          <t>MTSS Tier 1</t>
        </is>
      </c>
      <c r="D86" s="7" t="n">
        <v>45967</v>
      </c>
      <c r="E86" t="n">
        <v>146</v>
      </c>
      <c r="F86" t="n">
        <v>123</v>
      </c>
      <c r="G86" t="n">
        <v>23</v>
      </c>
      <c r="H86" t="n">
        <v>84.2</v>
      </c>
      <c r="I86" t="inlineStr">
        <is>
          <t>At Risk</t>
        </is>
      </c>
      <c r="J86" t="inlineStr">
        <is>
          <t>Yes</t>
        </is>
      </c>
      <c r="K86" t="inlineStr">
        <is>
          <t>ELA</t>
        </is>
      </c>
      <c r="L86" s="7" t="n">
        <v>46101</v>
      </c>
      <c r="M86" t="n">
        <v>83</v>
      </c>
      <c r="N86" t="inlineStr">
        <is>
          <t>Met</t>
        </is>
      </c>
      <c r="O86" t="n">
        <v>2</v>
      </c>
      <c r="P86" t="n">
        <v>0</v>
      </c>
    </row>
    <row r="87">
      <c r="A87" t="inlineStr">
        <is>
          <t>S1094</t>
        </is>
      </c>
      <c r="B87" t="n">
        <v>6</v>
      </c>
      <c r="C87" t="inlineStr">
        <is>
          <t>Core</t>
        </is>
      </c>
      <c r="D87" s="7" t="n">
        <v>45956</v>
      </c>
      <c r="E87" t="n">
        <v>106</v>
      </c>
      <c r="F87" t="n">
        <v>96</v>
      </c>
      <c r="G87" t="n">
        <v>10</v>
      </c>
      <c r="H87" t="n">
        <v>90.59999999999999</v>
      </c>
      <c r="I87" t="inlineStr">
        <is>
          <t>On Track</t>
        </is>
      </c>
      <c r="J87" t="inlineStr">
        <is>
          <t>No</t>
        </is>
      </c>
      <c r="K87" t="inlineStr">
        <is>
          <t>Math</t>
        </is>
      </c>
      <c r="L87" s="7" t="n">
        <v>46093</v>
      </c>
      <c r="M87" t="n">
        <v>74</v>
      </c>
      <c r="N87" t="inlineStr">
        <is>
          <t>Met</t>
        </is>
      </c>
      <c r="O87" t="n">
        <v>1</v>
      </c>
      <c r="P87" t="n">
        <v>0</v>
      </c>
    </row>
    <row r="88">
      <c r="A88" t="inlineStr">
        <is>
          <t>S1095</t>
        </is>
      </c>
      <c r="B88" t="n">
        <v>6</v>
      </c>
      <c r="C88" t="inlineStr">
        <is>
          <t>Core</t>
        </is>
      </c>
      <c r="D88" s="7" t="n">
        <v>45907</v>
      </c>
      <c r="E88" t="n">
        <v>175</v>
      </c>
      <c r="F88" t="n">
        <v>167</v>
      </c>
      <c r="G88" t="n">
        <v>8</v>
      </c>
      <c r="H88" t="n">
        <v>95.40000000000001</v>
      </c>
      <c r="I88" t="inlineStr">
        <is>
          <t>Strong</t>
        </is>
      </c>
      <c r="J88" t="inlineStr">
        <is>
          <t>No</t>
        </is>
      </c>
      <c r="K88" t="inlineStr">
        <is>
          <t>Science</t>
        </is>
      </c>
      <c r="L88" s="7" t="n">
        <v>46103</v>
      </c>
      <c r="M88" t="n">
        <v>64</v>
      </c>
      <c r="N88" t="inlineStr">
        <is>
          <t>Below</t>
        </is>
      </c>
      <c r="O88" t="n">
        <v>0</v>
      </c>
      <c r="P88" t="n">
        <v>0</v>
      </c>
    </row>
    <row r="89">
      <c r="A89" t="inlineStr">
        <is>
          <t>S1096</t>
        </is>
      </c>
      <c r="B89" t="n">
        <v>6</v>
      </c>
      <c r="C89" t="inlineStr">
        <is>
          <t>Core</t>
        </is>
      </c>
      <c r="D89" s="7" t="n">
        <v>45959</v>
      </c>
      <c r="E89" t="n">
        <v>179</v>
      </c>
      <c r="F89" t="n">
        <v>178</v>
      </c>
      <c r="G89" t="n">
        <v>1</v>
      </c>
      <c r="H89" t="n">
        <v>99.40000000000001</v>
      </c>
      <c r="I89" t="inlineStr">
        <is>
          <t>Strong</t>
        </is>
      </c>
      <c r="J89" t="inlineStr">
        <is>
          <t>No</t>
        </is>
      </c>
      <c r="K89" t="inlineStr">
        <is>
          <t>ELA</t>
        </is>
      </c>
      <c r="L89" s="7" t="n">
        <v>46124</v>
      </c>
      <c r="M89" t="n">
        <v>84</v>
      </c>
      <c r="N89" t="inlineStr">
        <is>
          <t>Met</t>
        </is>
      </c>
      <c r="O89" t="n">
        <v>1</v>
      </c>
      <c r="P89" t="n">
        <v>0</v>
      </c>
    </row>
    <row r="90">
      <c r="A90" t="inlineStr">
        <is>
          <t>S1097</t>
        </is>
      </c>
      <c r="B90" t="n">
        <v>5</v>
      </c>
      <c r="C90" t="inlineStr">
        <is>
          <t>Core</t>
        </is>
      </c>
      <c r="D90" s="7" t="n">
        <v>45919</v>
      </c>
      <c r="E90" t="n">
        <v>133</v>
      </c>
      <c r="F90" t="n">
        <v>122</v>
      </c>
      <c r="G90" t="n">
        <v>11</v>
      </c>
      <c r="H90" t="n">
        <v>91.7</v>
      </c>
      <c r="I90" t="inlineStr">
        <is>
          <t>On Track</t>
        </is>
      </c>
      <c r="J90" t="inlineStr">
        <is>
          <t>No</t>
        </is>
      </c>
      <c r="K90" t="inlineStr">
        <is>
          <t>Math</t>
        </is>
      </c>
      <c r="L90" s="7" t="n">
        <v>46123</v>
      </c>
      <c r="M90" t="n">
        <v>85</v>
      </c>
      <c r="N90" t="inlineStr">
        <is>
          <t>Met</t>
        </is>
      </c>
      <c r="O90" t="n">
        <v>1</v>
      </c>
      <c r="P90" t="n">
        <v>0</v>
      </c>
    </row>
    <row r="91">
      <c r="A91" t="inlineStr">
        <is>
          <t>S1099</t>
        </is>
      </c>
      <c r="B91" t="n">
        <v>6</v>
      </c>
      <c r="C91" t="inlineStr">
        <is>
          <t>MTSS Tier 1</t>
        </is>
      </c>
      <c r="D91" s="7" t="n">
        <v>45925</v>
      </c>
      <c r="E91" t="n">
        <v>106</v>
      </c>
      <c r="F91" t="n">
        <v>104</v>
      </c>
      <c r="G91" t="n">
        <v>2</v>
      </c>
      <c r="H91" t="n">
        <v>98.09999999999999</v>
      </c>
      <c r="I91" t="inlineStr">
        <is>
          <t>Strong</t>
        </is>
      </c>
      <c r="J91" t="inlineStr">
        <is>
          <t>No</t>
        </is>
      </c>
      <c r="K91" t="inlineStr">
        <is>
          <t>Science</t>
        </is>
      </c>
      <c r="L91" s="7" t="n">
        <v>46108</v>
      </c>
      <c r="M91" t="n">
        <v>68</v>
      </c>
      <c r="N91" t="inlineStr">
        <is>
          <t>Below</t>
        </is>
      </c>
      <c r="O91" t="n">
        <v>2</v>
      </c>
      <c r="P91" t="n">
        <v>0</v>
      </c>
    </row>
    <row r="92">
      <c r="A92" t="inlineStr">
        <is>
          <t>S1100</t>
        </is>
      </c>
      <c r="B92" t="n">
        <v>8</v>
      </c>
      <c r="C92" t="inlineStr">
        <is>
          <t>MTSS Tier 1</t>
        </is>
      </c>
      <c r="D92" s="7" t="n">
        <v>45981</v>
      </c>
      <c r="E92" t="n">
        <v>102</v>
      </c>
      <c r="F92" t="n">
        <v>102</v>
      </c>
      <c r="G92" t="n">
        <v>0</v>
      </c>
      <c r="H92" t="n">
        <v>100</v>
      </c>
      <c r="I92" t="inlineStr">
        <is>
          <t>Strong</t>
        </is>
      </c>
      <c r="J92" t="inlineStr">
        <is>
          <t>No</t>
        </is>
      </c>
      <c r="K92" t="inlineStr">
        <is>
          <t>Math</t>
        </is>
      </c>
      <c r="L92" s="7" t="n">
        <v>46090</v>
      </c>
      <c r="M92" t="n">
        <v>100</v>
      </c>
      <c r="N92" t="inlineStr">
        <is>
          <t>Met</t>
        </is>
      </c>
      <c r="O92" t="n">
        <v>6</v>
      </c>
      <c r="P92" t="n">
        <v>0</v>
      </c>
    </row>
    <row r="93">
      <c r="A93" t="inlineStr">
        <is>
          <t>S1101</t>
        </is>
      </c>
      <c r="B93" t="n">
        <v>7</v>
      </c>
      <c r="C93" t="inlineStr">
        <is>
          <t>MTSS Tier 2</t>
        </is>
      </c>
      <c r="D93" s="7" t="n">
        <v>45916</v>
      </c>
      <c r="E93" t="n">
        <v>173</v>
      </c>
      <c r="F93" t="n">
        <v>166</v>
      </c>
      <c r="G93" t="n">
        <v>7</v>
      </c>
      <c r="H93" t="n">
        <v>96</v>
      </c>
      <c r="I93" t="inlineStr">
        <is>
          <t>Strong</t>
        </is>
      </c>
      <c r="J93" t="inlineStr">
        <is>
          <t>No</t>
        </is>
      </c>
      <c r="K93" t="inlineStr">
        <is>
          <t>ELA</t>
        </is>
      </c>
      <c r="L93" s="7" t="n">
        <v>46103</v>
      </c>
      <c r="M93" t="n">
        <v>80</v>
      </c>
      <c r="N93" t="inlineStr">
        <is>
          <t>Met</t>
        </is>
      </c>
      <c r="O93" t="n">
        <v>1</v>
      </c>
      <c r="P93" t="n">
        <v>0</v>
      </c>
    </row>
    <row r="94">
      <c r="A94" t="inlineStr">
        <is>
          <t>S1102</t>
        </is>
      </c>
      <c r="B94" t="n">
        <v>7</v>
      </c>
      <c r="C94" t="inlineStr">
        <is>
          <t>MTSS Tier 2</t>
        </is>
      </c>
      <c r="D94" s="7" t="n">
        <v>45968</v>
      </c>
      <c r="E94" t="n">
        <v>114</v>
      </c>
      <c r="F94" t="n">
        <v>93</v>
      </c>
      <c r="G94" t="n">
        <v>21</v>
      </c>
      <c r="H94" t="n">
        <v>81.59999999999999</v>
      </c>
      <c r="I94" t="inlineStr">
        <is>
          <t>At Risk</t>
        </is>
      </c>
      <c r="J94" t="inlineStr">
        <is>
          <t>Yes</t>
        </is>
      </c>
      <c r="K94" t="inlineStr">
        <is>
          <t>Math</t>
        </is>
      </c>
      <c r="L94" s="7" t="n">
        <v>46087</v>
      </c>
      <c r="M94" t="n">
        <v>61</v>
      </c>
      <c r="N94" t="inlineStr">
        <is>
          <t>Below</t>
        </is>
      </c>
      <c r="O94" t="n">
        <v>0</v>
      </c>
      <c r="P94" t="n">
        <v>0</v>
      </c>
    </row>
    <row r="95">
      <c r="A95" t="inlineStr">
        <is>
          <t>S1103</t>
        </is>
      </c>
      <c r="B95" t="n">
        <v>6</v>
      </c>
      <c r="C95" t="inlineStr">
        <is>
          <t>MTSS Tier 1</t>
        </is>
      </c>
      <c r="D95" s="7" t="n">
        <v>45977</v>
      </c>
      <c r="E95" t="n">
        <v>157</v>
      </c>
      <c r="F95" t="n">
        <v>150</v>
      </c>
      <c r="G95" t="n">
        <v>7</v>
      </c>
      <c r="H95" t="n">
        <v>95.5</v>
      </c>
      <c r="I95" t="inlineStr">
        <is>
          <t>Strong</t>
        </is>
      </c>
      <c r="J95" t="inlineStr">
        <is>
          <t>No</t>
        </is>
      </c>
      <c r="K95" t="inlineStr">
        <is>
          <t>ELA</t>
        </is>
      </c>
      <c r="L95" s="7" t="n">
        <v>46044</v>
      </c>
      <c r="M95" t="n">
        <v>93</v>
      </c>
      <c r="N95" t="inlineStr">
        <is>
          <t>Met</t>
        </is>
      </c>
      <c r="O95" t="n">
        <v>1</v>
      </c>
      <c r="P95" t="n">
        <v>0</v>
      </c>
    </row>
    <row r="96">
      <c r="A96" t="inlineStr">
        <is>
          <t>S1104</t>
        </is>
      </c>
      <c r="B96" t="n">
        <v>5</v>
      </c>
      <c r="C96" t="inlineStr">
        <is>
          <t>MTSS Tier 1</t>
        </is>
      </c>
      <c r="D96" s="7" t="n">
        <v>45953</v>
      </c>
      <c r="E96" t="n">
        <v>99</v>
      </c>
      <c r="F96" t="n">
        <v>89</v>
      </c>
      <c r="G96" t="n">
        <v>10</v>
      </c>
      <c r="H96" t="n">
        <v>89.90000000000001</v>
      </c>
      <c r="I96" t="inlineStr">
        <is>
          <t>Needs Monitoring</t>
        </is>
      </c>
      <c r="J96" t="inlineStr">
        <is>
          <t>Yes</t>
        </is>
      </c>
      <c r="K96" t="inlineStr">
        <is>
          <t>Science</t>
        </is>
      </c>
      <c r="L96" s="7" t="n">
        <v>46070</v>
      </c>
      <c r="M96" t="n">
        <v>66</v>
      </c>
      <c r="N96" t="inlineStr">
        <is>
          <t>Below</t>
        </is>
      </c>
      <c r="O96" t="n">
        <v>1</v>
      </c>
      <c r="P96" t="n">
        <v>0</v>
      </c>
    </row>
    <row r="97">
      <c r="A97" t="inlineStr">
        <is>
          <t>S1105</t>
        </is>
      </c>
      <c r="B97" t="n">
        <v>6</v>
      </c>
      <c r="C97" t="inlineStr">
        <is>
          <t>Core</t>
        </is>
      </c>
      <c r="D97" s="7" t="n">
        <v>45940</v>
      </c>
      <c r="E97" t="n">
        <v>156</v>
      </c>
      <c r="F97" t="n">
        <v>148</v>
      </c>
      <c r="G97" t="n">
        <v>8</v>
      </c>
      <c r="H97" t="n">
        <v>94.90000000000001</v>
      </c>
      <c r="I97" t="inlineStr">
        <is>
          <t>On Track</t>
        </is>
      </c>
      <c r="J97" t="inlineStr">
        <is>
          <t>No</t>
        </is>
      </c>
      <c r="K97" t="inlineStr">
        <is>
          <t>Science</t>
        </is>
      </c>
      <c r="L97" s="7" t="n">
        <v>46071</v>
      </c>
      <c r="M97" t="n">
        <v>100</v>
      </c>
      <c r="N97" t="inlineStr">
        <is>
          <t>Met</t>
        </is>
      </c>
      <c r="O97" t="n">
        <v>1</v>
      </c>
      <c r="P97" t="n">
        <v>0</v>
      </c>
    </row>
    <row r="98">
      <c r="A98" t="inlineStr">
        <is>
          <t>S1106</t>
        </is>
      </c>
      <c r="B98" t="n">
        <v>5</v>
      </c>
      <c r="C98" t="inlineStr">
        <is>
          <t>Core</t>
        </is>
      </c>
      <c r="D98" s="7" t="n">
        <v>45966</v>
      </c>
      <c r="E98" t="n">
        <v>107</v>
      </c>
      <c r="F98" t="n">
        <v>103</v>
      </c>
      <c r="G98" t="n">
        <v>4</v>
      </c>
      <c r="H98" t="n">
        <v>96.3</v>
      </c>
      <c r="I98" t="inlineStr">
        <is>
          <t>Strong</t>
        </is>
      </c>
      <c r="J98" t="inlineStr">
        <is>
          <t>No</t>
        </is>
      </c>
      <c r="K98" t="inlineStr">
        <is>
          <t>Math</t>
        </is>
      </c>
      <c r="L98" s="7" t="n">
        <v>46124</v>
      </c>
      <c r="M98" t="n">
        <v>77</v>
      </c>
      <c r="N98" t="inlineStr">
        <is>
          <t>Met</t>
        </is>
      </c>
      <c r="O98" t="n">
        <v>1</v>
      </c>
      <c r="P98" t="n">
        <v>0</v>
      </c>
    </row>
    <row r="99">
      <c r="A99" t="inlineStr">
        <is>
          <t>S1107</t>
        </is>
      </c>
      <c r="B99" t="n">
        <v>8</v>
      </c>
      <c r="C99" t="inlineStr">
        <is>
          <t>Core</t>
        </is>
      </c>
      <c r="D99" s="7" t="n">
        <v>45940</v>
      </c>
      <c r="E99" t="n">
        <v>175</v>
      </c>
      <c r="F99" t="n">
        <v>162</v>
      </c>
      <c r="G99" t="n">
        <v>13</v>
      </c>
      <c r="H99" t="n">
        <v>92.59999999999999</v>
      </c>
      <c r="I99" t="inlineStr">
        <is>
          <t>On Track</t>
        </is>
      </c>
      <c r="J99" t="inlineStr">
        <is>
          <t>No</t>
        </is>
      </c>
      <c r="K99" t="inlineStr">
        <is>
          <t>ELA</t>
        </is>
      </c>
      <c r="L99" s="7" t="n">
        <v>46114</v>
      </c>
      <c r="M99" t="n">
        <v>88</v>
      </c>
      <c r="N99" t="inlineStr">
        <is>
          <t>Met</t>
        </is>
      </c>
      <c r="O99" t="n">
        <v>2</v>
      </c>
      <c r="P99" t="n">
        <v>0</v>
      </c>
    </row>
    <row r="100">
      <c r="A100" t="inlineStr">
        <is>
          <t>S1108</t>
        </is>
      </c>
      <c r="B100" t="n">
        <v>7</v>
      </c>
      <c r="C100" t="inlineStr">
        <is>
          <t>Core</t>
        </is>
      </c>
      <c r="D100" s="7" t="n">
        <v>45952</v>
      </c>
      <c r="E100" t="n">
        <v>123</v>
      </c>
      <c r="F100" t="n">
        <v>121</v>
      </c>
      <c r="G100" t="n">
        <v>2</v>
      </c>
      <c r="H100" t="n">
        <v>98.40000000000001</v>
      </c>
      <c r="I100" t="inlineStr">
        <is>
          <t>Strong</t>
        </is>
      </c>
      <c r="J100" t="inlineStr">
        <is>
          <t>No</t>
        </is>
      </c>
      <c r="K100" t="inlineStr">
        <is>
          <t>Math</t>
        </is>
      </c>
      <c r="L100" s="7" t="n">
        <v>46068</v>
      </c>
      <c r="M100" t="n">
        <v>51</v>
      </c>
      <c r="N100" t="inlineStr">
        <is>
          <t>Below</t>
        </is>
      </c>
      <c r="O100" t="n">
        <v>1</v>
      </c>
      <c r="P100" t="n">
        <v>1</v>
      </c>
    </row>
    <row r="101">
      <c r="A101" t="inlineStr">
        <is>
          <t>S1109</t>
        </is>
      </c>
      <c r="B101" t="n">
        <v>8</v>
      </c>
      <c r="C101" t="inlineStr">
        <is>
          <t>Core</t>
        </is>
      </c>
      <c r="D101" s="7" t="n">
        <v>45932</v>
      </c>
      <c r="E101" t="n">
        <v>97</v>
      </c>
      <c r="F101" t="n">
        <v>77</v>
      </c>
      <c r="G101" t="n">
        <v>20</v>
      </c>
      <c r="H101" t="n">
        <v>79.40000000000001</v>
      </c>
      <c r="I101" t="inlineStr">
        <is>
          <t>At Risk</t>
        </is>
      </c>
      <c r="J101" t="inlineStr">
        <is>
          <t>Yes</t>
        </is>
      </c>
      <c r="K101" t="inlineStr">
        <is>
          <t>Math</t>
        </is>
      </c>
      <c r="L101" s="7" t="n">
        <v>46082</v>
      </c>
      <c r="M101" t="n">
        <v>61</v>
      </c>
      <c r="N101" t="inlineStr">
        <is>
          <t>Below</t>
        </is>
      </c>
      <c r="O101" t="n">
        <v>2</v>
      </c>
      <c r="P101" t="n">
        <v>0</v>
      </c>
    </row>
    <row r="102">
      <c r="A102" t="inlineStr">
        <is>
          <t>S1110</t>
        </is>
      </c>
      <c r="B102" t="n">
        <v>5</v>
      </c>
      <c r="C102" t="inlineStr">
        <is>
          <t>Core</t>
        </is>
      </c>
      <c r="D102" s="7" t="n">
        <v>45981</v>
      </c>
      <c r="E102" t="n">
        <v>129</v>
      </c>
      <c r="F102" t="n">
        <v>125</v>
      </c>
      <c r="G102" t="n">
        <v>4</v>
      </c>
      <c r="H102" t="n">
        <v>96.90000000000001</v>
      </c>
      <c r="I102" t="inlineStr">
        <is>
          <t>Strong</t>
        </is>
      </c>
      <c r="J102" t="inlineStr">
        <is>
          <t>No</t>
        </is>
      </c>
      <c r="K102" t="inlineStr">
        <is>
          <t>ELA</t>
        </is>
      </c>
      <c r="L102" s="7" t="n">
        <v>46052</v>
      </c>
      <c r="M102" t="n">
        <v>92</v>
      </c>
      <c r="N102" t="inlineStr">
        <is>
          <t>Met</t>
        </is>
      </c>
      <c r="O102" t="n">
        <v>2</v>
      </c>
      <c r="P102" t="n">
        <v>0</v>
      </c>
    </row>
    <row r="103">
      <c r="A103" t="inlineStr">
        <is>
          <t>S1111</t>
        </is>
      </c>
      <c r="B103" t="n">
        <v>5</v>
      </c>
      <c r="C103" t="inlineStr">
        <is>
          <t>MTSS Tier 2</t>
        </is>
      </c>
      <c r="D103" s="7" t="n">
        <v>45953</v>
      </c>
      <c r="E103" t="n">
        <v>172</v>
      </c>
      <c r="F103" t="n">
        <v>168</v>
      </c>
      <c r="G103" t="n">
        <v>4</v>
      </c>
      <c r="H103" t="n">
        <v>97.7</v>
      </c>
      <c r="I103" t="inlineStr">
        <is>
          <t>Strong</t>
        </is>
      </c>
      <c r="J103" t="inlineStr">
        <is>
          <t>No</t>
        </is>
      </c>
      <c r="K103" t="inlineStr">
        <is>
          <t>ELA</t>
        </is>
      </c>
      <c r="L103" s="7" t="n">
        <v>46104</v>
      </c>
      <c r="M103" t="n">
        <v>80</v>
      </c>
      <c r="N103" t="inlineStr">
        <is>
          <t>Met</t>
        </is>
      </c>
      <c r="O103" t="n">
        <v>2</v>
      </c>
      <c r="P103" t="n">
        <v>0</v>
      </c>
    </row>
    <row r="104">
      <c r="A104" t="inlineStr">
        <is>
          <t>S1112</t>
        </is>
      </c>
      <c r="B104" t="n">
        <v>8</v>
      </c>
      <c r="C104" t="inlineStr">
        <is>
          <t>MTSS Tier 3</t>
        </is>
      </c>
      <c r="D104" s="7" t="n">
        <v>45965</v>
      </c>
      <c r="E104" t="n">
        <v>131</v>
      </c>
      <c r="F104" t="n">
        <v>113</v>
      </c>
      <c r="G104" t="n">
        <v>18</v>
      </c>
      <c r="H104" t="n">
        <v>86.3</v>
      </c>
      <c r="I104" t="inlineStr">
        <is>
          <t>Needs Monitoring</t>
        </is>
      </c>
      <c r="J104" t="inlineStr">
        <is>
          <t>Yes</t>
        </is>
      </c>
      <c r="K104" t="inlineStr">
        <is>
          <t>ELA</t>
        </is>
      </c>
      <c r="L104" s="7" t="n">
        <v>46073</v>
      </c>
      <c r="M104" t="n">
        <v>100</v>
      </c>
      <c r="N104" t="inlineStr">
        <is>
          <t>Met</t>
        </is>
      </c>
      <c r="O104" t="n">
        <v>3</v>
      </c>
      <c r="P104" t="n">
        <v>0</v>
      </c>
    </row>
    <row r="105">
      <c r="A105" t="inlineStr">
        <is>
          <t>S1113</t>
        </is>
      </c>
      <c r="B105" t="n">
        <v>5</v>
      </c>
      <c r="C105" t="inlineStr">
        <is>
          <t>MTSS Tier 1</t>
        </is>
      </c>
      <c r="D105" s="7" t="n">
        <v>45954</v>
      </c>
      <c r="E105" t="n">
        <v>130</v>
      </c>
      <c r="F105" t="n">
        <v>117</v>
      </c>
      <c r="G105" t="n">
        <v>13</v>
      </c>
      <c r="H105" t="n">
        <v>90</v>
      </c>
      <c r="I105" t="inlineStr">
        <is>
          <t>On Track</t>
        </is>
      </c>
      <c r="J105" t="inlineStr">
        <is>
          <t>No</t>
        </is>
      </c>
      <c r="K105" t="inlineStr">
        <is>
          <t>Science</t>
        </is>
      </c>
      <c r="L105" s="7" t="n">
        <v>46090</v>
      </c>
      <c r="M105" t="n">
        <v>82</v>
      </c>
      <c r="N105" t="inlineStr">
        <is>
          <t>Met</t>
        </is>
      </c>
      <c r="O105" t="n">
        <v>0</v>
      </c>
      <c r="P105" t="n">
        <v>0</v>
      </c>
    </row>
    <row r="106">
      <c r="A106" t="inlineStr">
        <is>
          <t>S1114</t>
        </is>
      </c>
      <c r="B106" t="n">
        <v>8</v>
      </c>
      <c r="C106" t="inlineStr">
        <is>
          <t>Core</t>
        </is>
      </c>
      <c r="D106" s="7" t="n">
        <v>45940</v>
      </c>
      <c r="E106" t="n">
        <v>95</v>
      </c>
      <c r="F106" t="n">
        <v>92</v>
      </c>
      <c r="G106" t="n">
        <v>3</v>
      </c>
      <c r="H106" t="n">
        <v>96.8</v>
      </c>
      <c r="I106" t="inlineStr">
        <is>
          <t>Strong</t>
        </is>
      </c>
      <c r="J106" t="inlineStr">
        <is>
          <t>No</t>
        </is>
      </c>
      <c r="K106" t="inlineStr">
        <is>
          <t>Math</t>
        </is>
      </c>
      <c r="L106" s="7" t="n">
        <v>46121</v>
      </c>
      <c r="M106" t="n">
        <v>78</v>
      </c>
      <c r="N106" t="inlineStr">
        <is>
          <t>Met</t>
        </is>
      </c>
      <c r="O106" t="n">
        <v>4</v>
      </c>
      <c r="P106" t="n">
        <v>0</v>
      </c>
    </row>
    <row r="107">
      <c r="A107" t="inlineStr">
        <is>
          <t>S1115</t>
        </is>
      </c>
      <c r="B107" t="n">
        <v>7</v>
      </c>
      <c r="C107" t="inlineStr">
        <is>
          <t>Core</t>
        </is>
      </c>
      <c r="D107" s="7" t="n">
        <v>45981</v>
      </c>
      <c r="E107" t="n">
        <v>141</v>
      </c>
      <c r="F107" t="n">
        <v>129</v>
      </c>
      <c r="G107" t="n">
        <v>12</v>
      </c>
      <c r="H107" t="n">
        <v>91.5</v>
      </c>
      <c r="I107" t="inlineStr">
        <is>
          <t>On Track</t>
        </is>
      </c>
      <c r="J107" t="inlineStr">
        <is>
          <t>No</t>
        </is>
      </c>
      <c r="K107" t="inlineStr">
        <is>
          <t>Math</t>
        </is>
      </c>
      <c r="L107" s="7" t="n">
        <v>46050</v>
      </c>
      <c r="M107" t="n">
        <v>97</v>
      </c>
      <c r="N107" t="inlineStr">
        <is>
          <t>Met</t>
        </is>
      </c>
      <c r="O107" t="n">
        <v>2</v>
      </c>
      <c r="P107" t="n">
        <v>0</v>
      </c>
    </row>
    <row r="108">
      <c r="A108" t="inlineStr">
        <is>
          <t>S1116</t>
        </is>
      </c>
      <c r="B108" t="n">
        <v>8</v>
      </c>
      <c r="C108" t="inlineStr">
        <is>
          <t>MTSS Tier 2</t>
        </is>
      </c>
      <c r="D108" s="7" t="n">
        <v>45932</v>
      </c>
      <c r="E108" t="n">
        <v>115</v>
      </c>
      <c r="F108" t="n">
        <v>106</v>
      </c>
      <c r="G108" t="n">
        <v>9</v>
      </c>
      <c r="H108" t="n">
        <v>92.2</v>
      </c>
      <c r="I108" t="inlineStr">
        <is>
          <t>On Track</t>
        </is>
      </c>
      <c r="J108" t="inlineStr">
        <is>
          <t>No</t>
        </is>
      </c>
      <c r="K108" t="inlineStr">
        <is>
          <t>Science</t>
        </is>
      </c>
      <c r="L108" s="7" t="n">
        <v>46091</v>
      </c>
      <c r="M108" t="n">
        <v>88</v>
      </c>
      <c r="N108" t="inlineStr">
        <is>
          <t>Met</t>
        </is>
      </c>
      <c r="O108" t="n">
        <v>2</v>
      </c>
      <c r="P108" t="n">
        <v>0</v>
      </c>
    </row>
    <row r="109">
      <c r="A109" t="inlineStr">
        <is>
          <t>S1117</t>
        </is>
      </c>
      <c r="B109" t="n">
        <v>7</v>
      </c>
      <c r="C109" t="inlineStr">
        <is>
          <t>MTSS Tier 2</t>
        </is>
      </c>
      <c r="D109" s="7" t="n">
        <v>45953</v>
      </c>
      <c r="E109" t="n">
        <v>153</v>
      </c>
      <c r="F109" t="n">
        <v>136</v>
      </c>
      <c r="G109" t="n">
        <v>17</v>
      </c>
      <c r="H109" t="n">
        <v>88.90000000000001</v>
      </c>
      <c r="I109" t="inlineStr">
        <is>
          <t>Needs Monitoring</t>
        </is>
      </c>
      <c r="J109" t="inlineStr">
        <is>
          <t>Yes</t>
        </is>
      </c>
      <c r="K109" t="inlineStr">
        <is>
          <t>ELA</t>
        </is>
      </c>
      <c r="L109" s="7" t="n">
        <v>46084</v>
      </c>
      <c r="M109" t="n">
        <v>74</v>
      </c>
      <c r="N109" t="inlineStr">
        <is>
          <t>Met</t>
        </is>
      </c>
      <c r="O109" t="n">
        <v>0</v>
      </c>
      <c r="P109" t="n">
        <v>0</v>
      </c>
    </row>
    <row r="110">
      <c r="A110" t="inlineStr">
        <is>
          <t>S1118</t>
        </is>
      </c>
      <c r="B110" t="n">
        <v>8</v>
      </c>
      <c r="C110" t="inlineStr">
        <is>
          <t>Core</t>
        </is>
      </c>
      <c r="D110" s="7" t="n">
        <v>45907</v>
      </c>
      <c r="E110" t="n">
        <v>148</v>
      </c>
      <c r="F110" t="n">
        <v>141</v>
      </c>
      <c r="G110" t="n">
        <v>7</v>
      </c>
      <c r="H110" t="n">
        <v>95.3</v>
      </c>
      <c r="I110" t="inlineStr">
        <is>
          <t>Strong</t>
        </is>
      </c>
      <c r="J110" t="inlineStr">
        <is>
          <t>No</t>
        </is>
      </c>
      <c r="K110" t="inlineStr">
        <is>
          <t>Science</t>
        </is>
      </c>
      <c r="L110" s="7" t="n">
        <v>46118</v>
      </c>
      <c r="M110" t="n">
        <v>63</v>
      </c>
      <c r="N110" t="inlineStr">
        <is>
          <t>Below</t>
        </is>
      </c>
      <c r="O110" t="n">
        <v>0</v>
      </c>
      <c r="P110" t="n">
        <v>0</v>
      </c>
    </row>
    <row r="111">
      <c r="A111" t="inlineStr">
        <is>
          <t>S1119</t>
        </is>
      </c>
      <c r="B111" t="n">
        <v>5</v>
      </c>
      <c r="C111" t="inlineStr">
        <is>
          <t>MTSS Tier 1</t>
        </is>
      </c>
      <c r="D111" s="7" t="n">
        <v>45931</v>
      </c>
      <c r="E111" t="n">
        <v>145</v>
      </c>
      <c r="F111" t="n">
        <v>138</v>
      </c>
      <c r="G111" t="n">
        <v>7</v>
      </c>
      <c r="H111" t="n">
        <v>95.2</v>
      </c>
      <c r="I111" t="inlineStr">
        <is>
          <t>Strong</t>
        </is>
      </c>
      <c r="J111" t="inlineStr">
        <is>
          <t>No</t>
        </is>
      </c>
      <c r="K111" t="inlineStr">
        <is>
          <t>Science</t>
        </is>
      </c>
      <c r="L111" s="7" t="n">
        <v>46043</v>
      </c>
      <c r="M111" t="n">
        <v>48</v>
      </c>
      <c r="N111" t="inlineStr">
        <is>
          <t>Below</t>
        </is>
      </c>
      <c r="O111" t="n">
        <v>2</v>
      </c>
      <c r="P111" t="n">
        <v>0</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7"/>
  <sheetViews>
    <sheetView workbookViewId="0">
      <pane ySplit="3" topLeftCell="A4" activePane="bottomLeft" state="frozen"/>
      <selection pane="bottomLeft" activeCell="A1" sqref="A1"/>
    </sheetView>
  </sheetViews>
  <sheetFormatPr baseColWidth="8" defaultRowHeight="15"/>
  <cols>
    <col width="8" customWidth="1" min="1" max="1"/>
    <col width="11" customWidth="1" min="2" max="2"/>
    <col width="24" customWidth="1" min="3" max="3"/>
    <col width="20" customWidth="1" min="4" max="4"/>
    <col width="26" customWidth="1" min="5" max="5"/>
  </cols>
  <sheetData>
    <row r="1">
      <c r="A1" s="8" t="inlineStr">
        <is>
          <t>Pivot ready summary table. Values calculated by the build script from fact_attendance.</t>
        </is>
      </c>
    </row>
    <row r="3">
      <c r="A3" s="3" t="inlineStr">
        <is>
          <t>Grade</t>
        </is>
      </c>
      <c r="B3" s="3" t="inlineStr">
        <is>
          <t>Students</t>
        </is>
      </c>
      <c r="C3" s="3" t="inlineStr">
        <is>
          <t>Average_Attendance_Rate</t>
        </is>
      </c>
      <c r="D3" s="3" t="inlineStr">
        <is>
          <t>Average_Days_Absent</t>
        </is>
      </c>
      <c r="E3" s="3" t="inlineStr">
        <is>
          <t>Chronic_Absence_Rate_Percent</t>
        </is>
      </c>
    </row>
    <row r="4">
      <c r="A4" t="n">
        <v>5</v>
      </c>
      <c r="B4" t="n">
        <v>25</v>
      </c>
      <c r="C4" t="n">
        <v>91.36</v>
      </c>
      <c r="D4" t="n">
        <v>10.6</v>
      </c>
      <c r="E4" t="n">
        <v>36</v>
      </c>
    </row>
    <row r="5">
      <c r="A5" t="n">
        <v>6</v>
      </c>
      <c r="B5" t="n">
        <v>22</v>
      </c>
      <c r="C5" t="n">
        <v>91.84999999999999</v>
      </c>
      <c r="D5" t="n">
        <v>9.9</v>
      </c>
      <c r="E5" t="n">
        <v>36.4</v>
      </c>
    </row>
    <row r="6">
      <c r="A6" t="n">
        <v>7</v>
      </c>
      <c r="B6" t="n">
        <v>21</v>
      </c>
      <c r="C6" t="n">
        <v>93.25</v>
      </c>
      <c r="D6" t="n">
        <v>9</v>
      </c>
      <c r="E6" t="n">
        <v>19</v>
      </c>
    </row>
    <row r="7">
      <c r="A7" t="n">
        <v>8</v>
      </c>
      <c r="B7" t="n">
        <v>40</v>
      </c>
      <c r="C7" t="n">
        <v>91.38</v>
      </c>
      <c r="D7" t="n">
        <v>10.8</v>
      </c>
      <c r="E7" t="n">
        <v>37.5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pane ySplit="3" topLeftCell="A4" activePane="bottomLeft" state="frozen"/>
      <selection pane="bottomLeft" activeCell="A1" sqref="A1"/>
    </sheetView>
  </sheetViews>
  <sheetFormatPr baseColWidth="8" defaultRowHeight="15"/>
  <cols>
    <col width="12" customWidth="1" min="1" max="1"/>
    <col width="11" customWidth="1" min="2" max="2"/>
    <col width="15" customWidth="1" min="3" max="3"/>
    <col width="13" customWidth="1" min="4" max="4"/>
    <col width="15" customWidth="1" min="5" max="5"/>
  </cols>
  <sheetData>
    <row r="1">
      <c r="A1" s="8" t="inlineStr">
        <is>
          <t>Pivot ready summary table. Values calculated by the build script from fact_assessment. Each student took one assessment in one subject, so subject rows compare different groups of students.</t>
        </is>
      </c>
    </row>
    <row r="3">
      <c r="A3" s="3" t="inlineStr">
        <is>
          <t>Assessment</t>
        </is>
      </c>
      <c r="B3" s="3" t="inlineStr">
        <is>
          <t>Students</t>
        </is>
      </c>
      <c r="C3" s="3" t="inlineStr">
        <is>
          <t>Average_Score</t>
        </is>
      </c>
      <c r="D3" s="3" t="inlineStr">
        <is>
          <t>Percent_Met</t>
        </is>
      </c>
      <c r="E3" s="3" t="inlineStr">
        <is>
          <t>Students_Below</t>
        </is>
      </c>
    </row>
    <row r="4">
      <c r="A4" t="inlineStr">
        <is>
          <t>ELA</t>
        </is>
      </c>
      <c r="B4" t="n">
        <v>32</v>
      </c>
      <c r="C4" t="n">
        <v>81.69</v>
      </c>
      <c r="D4" t="n">
        <v>87.5</v>
      </c>
      <c r="E4" t="n">
        <v>4</v>
      </c>
    </row>
    <row r="5">
      <c r="A5" t="inlineStr">
        <is>
          <t>Math</t>
        </is>
      </c>
      <c r="B5" t="n">
        <v>34</v>
      </c>
      <c r="C5" t="n">
        <v>76.68000000000001</v>
      </c>
      <c r="D5" t="n">
        <v>76.5</v>
      </c>
      <c r="E5" t="n">
        <v>8</v>
      </c>
    </row>
    <row r="6">
      <c r="A6" t="inlineStr">
        <is>
          <t>Science</t>
        </is>
      </c>
      <c r="B6" t="n">
        <v>41</v>
      </c>
      <c r="C6" t="n">
        <v>77.45999999999999</v>
      </c>
      <c r="D6" t="n">
        <v>65.90000000000001</v>
      </c>
      <c r="E6" t="n">
        <v>14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62" customWidth="1" min="3" max="3"/>
    <col width="10" customWidth="1" min="4" max="4"/>
    <col width="34" customWidth="1" min="5" max="5"/>
    <col width="52" customWidth="1" min="6" max="6"/>
  </cols>
  <sheetData>
    <row r="1">
      <c r="A1" s="3" t="inlineStr">
        <is>
          <t>Table</t>
        </is>
      </c>
      <c r="B1" s="3" t="inlineStr">
        <is>
          <t>Field</t>
        </is>
      </c>
      <c r="C1" s="3" t="inlineStr">
        <is>
          <t>Definition</t>
        </is>
      </c>
      <c r="D1" s="3" t="inlineStr">
        <is>
          <t>Data Type</t>
        </is>
      </c>
      <c r="E1" s="3" t="inlineStr">
        <is>
          <t>Source</t>
        </is>
      </c>
      <c r="F1" s="3" t="inlineStr">
        <is>
          <t>Notes</t>
        </is>
      </c>
    </row>
    <row r="2">
      <c r="A2" t="inlineStr">
        <is>
          <t>Student Summary</t>
        </is>
      </c>
      <c r="B2" t="inlineStr">
        <is>
          <t>Student_ID</t>
        </is>
      </c>
      <c r="C2" s="2" t="inlineStr">
        <is>
          <t>Unique student identifier. Links every table.</t>
        </is>
      </c>
      <c r="D2" t="inlineStr">
        <is>
          <t>Text</t>
        </is>
      </c>
      <c r="E2" t="inlineStr">
        <is>
          <t>students.csv</t>
        </is>
      </c>
      <c r="F2" s="2" t="inlineStr">
        <is>
          <t>Unique inside the population.</t>
        </is>
      </c>
    </row>
    <row r="3">
      <c r="A3" t="inlineStr">
        <is>
          <t>Student Summary</t>
        </is>
      </c>
      <c r="B3" t="inlineStr">
        <is>
          <t>Grade</t>
        </is>
      </c>
      <c r="C3" s="2" t="inlineStr">
        <is>
          <t>Grade level, 5 to 8. Taken from the first fact table that records it for the student.</t>
        </is>
      </c>
      <c r="D3" t="inlineStr">
        <is>
          <t>Number</t>
        </is>
      </c>
      <c r="E3" t="inlineStr">
        <is>
          <t>attendance.csv, assessments.csv, discipline.csv</t>
        </is>
      </c>
      <c r="F3" s="2" t="inlineStr">
        <is>
          <t>Grade agrees across all three fact tables for every shared student.</t>
        </is>
      </c>
    </row>
    <row r="4">
      <c r="A4" t="inlineStr">
        <is>
          <t>Student Summary</t>
        </is>
      </c>
      <c r="B4" t="inlineStr">
        <is>
          <t>Program</t>
        </is>
      </c>
      <c r="C4" s="2" t="inlineStr">
        <is>
          <t>Program group: Core, MTSS Tier 1, MTSS Tier 2, or MTSS Tier 3.</t>
        </is>
      </c>
      <c r="D4" t="inlineStr">
        <is>
          <t>Text</t>
        </is>
      </c>
      <c r="E4" t="inlineStr">
        <is>
          <t>students.csv</t>
        </is>
      </c>
      <c r="F4" s="2" t="inlineStr">
        <is>
          <t>Casing standardized in the pipeline.</t>
        </is>
      </c>
    </row>
    <row r="5">
      <c r="A5" t="inlineStr">
        <is>
          <t>Student Summary</t>
        </is>
      </c>
      <c r="B5" t="inlineStr">
        <is>
          <t>Enrollment_Date</t>
        </is>
      </c>
      <c r="C5" s="2" t="inlineStr">
        <is>
          <t>Date the student enrolled.</t>
        </is>
      </c>
      <c r="D5" t="inlineStr">
        <is>
          <t>Date</t>
        </is>
      </c>
      <c r="E5" t="inlineStr">
        <is>
          <t>students.csv</t>
        </is>
      </c>
      <c r="F5" s="2" t="inlineStr">
        <is>
          <t>Runs from September to November 2025.</t>
        </is>
      </c>
    </row>
    <row r="6">
      <c r="A6" t="inlineStr">
        <is>
          <t>Student Summary</t>
        </is>
      </c>
      <c r="B6" t="inlineStr">
        <is>
          <t>Days_Enrolled</t>
        </is>
      </c>
      <c r="C6" s="2" t="inlineStr">
        <is>
          <t>Days the student was enrolled in the attendance period.</t>
        </is>
      </c>
      <c r="D6" t="inlineStr">
        <is>
          <t>Number</t>
        </is>
      </c>
      <c r="E6" t="inlineStr">
        <is>
          <t>attendance.csv</t>
        </is>
      </c>
      <c r="F6" s="2" t="inlineStr">
        <is>
          <t>Blank when the student has no attendance row.</t>
        </is>
      </c>
    </row>
    <row r="7">
      <c r="A7" t="inlineStr">
        <is>
          <t>Student Summary</t>
        </is>
      </c>
      <c r="B7" t="inlineStr">
        <is>
          <t>Days_Present</t>
        </is>
      </c>
      <c r="C7" s="2" t="inlineStr">
        <is>
          <t>Days the student attended.</t>
        </is>
      </c>
      <c r="D7" t="inlineStr">
        <is>
          <t>Number</t>
        </is>
      </c>
      <c r="E7" t="inlineStr">
        <is>
          <t>attendance.csv</t>
        </is>
      </c>
      <c r="F7" s="2" t="inlineStr">
        <is>
          <t>Never exceeds Days_Enrolled in the processed data.</t>
        </is>
      </c>
    </row>
    <row r="8">
      <c r="A8" t="inlineStr">
        <is>
          <t>Student Summary</t>
        </is>
      </c>
      <c r="B8" t="inlineStr">
        <is>
          <t>Days_Absent</t>
        </is>
      </c>
      <c r="C8" s="2" t="inlineStr">
        <is>
          <t>Days the student was absent.</t>
        </is>
      </c>
      <c r="D8" t="inlineStr">
        <is>
          <t>Number</t>
        </is>
      </c>
      <c r="E8" t="inlineStr">
        <is>
          <t>attendance.csv</t>
        </is>
      </c>
      <c r="F8" s="2" t="inlineStr">
        <is>
          <t>Present plus absent equals enrolled on every processed row.</t>
        </is>
      </c>
    </row>
    <row r="9">
      <c r="A9" t="inlineStr">
        <is>
          <t>Student Summary</t>
        </is>
      </c>
      <c r="B9" t="inlineStr">
        <is>
          <t>Attendance_Rate</t>
        </is>
      </c>
      <c r="C9" s="2" t="inlineStr">
        <is>
          <t>Days present as a percent of days enrolled, one decimal place.</t>
        </is>
      </c>
      <c r="D9" t="inlineStr">
        <is>
          <t>Number</t>
        </is>
      </c>
      <c r="E9" t="inlineStr">
        <is>
          <t>attendance.csv</t>
        </is>
      </c>
      <c r="F9" s="2" t="inlineStr">
        <is>
          <t>Basis for the bands and the chronic absence flag.</t>
        </is>
      </c>
    </row>
    <row r="10">
      <c r="A10" t="inlineStr">
        <is>
          <t>Student Summary</t>
        </is>
      </c>
      <c r="B10" t="inlineStr">
        <is>
          <t>Attendance_Band</t>
        </is>
      </c>
      <c r="C10" s="2" t="inlineStr">
        <is>
          <t>Project category from Attendance_Rate: At Risk, Needs Monitoring, On Track, or Strong.</t>
        </is>
      </c>
      <c r="D10" t="inlineStr">
        <is>
          <t>Text</t>
        </is>
      </c>
      <c r="E10" t="inlineStr">
        <is>
          <t>Derived in the pipeline</t>
        </is>
      </c>
      <c r="F10" s="2" t="inlineStr">
        <is>
          <t>Project categories, not official thresholds.</t>
        </is>
      </c>
    </row>
    <row r="11">
      <c r="A11" t="inlineStr">
        <is>
          <t>Student Summary</t>
        </is>
      </c>
      <c r="B11" t="inlineStr">
        <is>
          <t>Is_Chronic_Absence</t>
        </is>
      </c>
      <c r="C11" s="2" t="inlineStr">
        <is>
          <t>Yes when Attendance_Rate is below 90, the project definition.</t>
        </is>
      </c>
      <c r="D11" t="inlineStr">
        <is>
          <t>Text</t>
        </is>
      </c>
      <c r="E11" t="inlineStr">
        <is>
          <t>Derived in the pipeline</t>
        </is>
      </c>
      <c r="F11" s="2" t="inlineStr">
        <is>
          <t>Not an official school or district definition.</t>
        </is>
      </c>
    </row>
    <row r="12">
      <c r="A12" t="inlineStr">
        <is>
          <t>Student Summary</t>
        </is>
      </c>
      <c r="B12" t="inlineStr">
        <is>
          <t>Assessment</t>
        </is>
      </c>
      <c r="C12" s="2" t="inlineStr">
        <is>
          <t>Subject of the one assessment the student took: ELA, Math, or Science.</t>
        </is>
      </c>
      <c r="D12" t="inlineStr">
        <is>
          <t>Text</t>
        </is>
      </c>
      <c r="E12" t="inlineStr">
        <is>
          <t>assessments.csv</t>
        </is>
      </c>
      <c r="F12" s="2" t="inlineStr">
        <is>
          <t>One assessment per student.</t>
        </is>
      </c>
    </row>
    <row r="13">
      <c r="A13" t="inlineStr">
        <is>
          <t>Student Summary</t>
        </is>
      </c>
      <c r="B13" t="inlineStr">
        <is>
          <t>Assessment_Date</t>
        </is>
      </c>
      <c r="C13" s="2" t="inlineStr">
        <is>
          <t>Date of the assessment.</t>
        </is>
      </c>
      <c r="D13" t="inlineStr">
        <is>
          <t>Date</t>
        </is>
      </c>
      <c r="E13" t="inlineStr">
        <is>
          <t>assessments.csv</t>
        </is>
      </c>
      <c r="F13" s="2" t="inlineStr">
        <is>
          <t>Runs from January to April 2026.</t>
        </is>
      </c>
    </row>
    <row r="14">
      <c r="A14" t="inlineStr">
        <is>
          <t>Student Summary</t>
        </is>
      </c>
      <c r="B14" t="inlineStr">
        <is>
          <t>Score</t>
        </is>
      </c>
      <c r="C14" s="2" t="inlineStr">
        <is>
          <t>Assessment score from 43 to 100.</t>
        </is>
      </c>
      <c r="D14" t="inlineStr">
        <is>
          <t>Number</t>
        </is>
      </c>
      <c r="E14" t="inlineStr">
        <is>
          <t>assessments.csv</t>
        </is>
      </c>
      <c r="F14" s="2" t="inlineStr">
        <is>
          <t>Blank when the student has no assessment row.</t>
        </is>
      </c>
    </row>
    <row r="15">
      <c r="A15" t="inlineStr">
        <is>
          <t>Student Summary</t>
        </is>
      </c>
      <c r="B15" t="inlineStr">
        <is>
          <t>Benchmark</t>
        </is>
      </c>
      <c r="C15" s="2" t="inlineStr">
        <is>
          <t>Met when Score is 70 or above, Below when under 70.</t>
        </is>
      </c>
      <c r="D15" t="inlineStr">
        <is>
          <t>Text</t>
        </is>
      </c>
      <c r="E15" t="inlineStr">
        <is>
          <t>assessments.csv</t>
        </is>
      </c>
      <c r="F15" s="2" t="inlineStr">
        <is>
          <t>Rule verified on every processed row.</t>
        </is>
      </c>
    </row>
    <row r="16">
      <c r="A16" t="inlineStr">
        <is>
          <t>Student Summary</t>
        </is>
      </c>
      <c r="B16" t="inlineStr">
        <is>
          <t>Incidents</t>
        </is>
      </c>
      <c r="C16" s="2" t="inlineStr">
        <is>
          <t>Total discipline incidents recorded for the student.</t>
        </is>
      </c>
      <c r="D16" t="inlineStr">
        <is>
          <t>Number</t>
        </is>
      </c>
      <c r="E16" t="inlineStr">
        <is>
          <t>discipline.csv</t>
        </is>
      </c>
      <c r="F16" s="2" t="inlineStr">
        <is>
          <t>Blank when the student has no discipline row.</t>
        </is>
      </c>
    </row>
    <row r="17">
      <c r="A17" t="inlineStr">
        <is>
          <t>Student Summary</t>
        </is>
      </c>
      <c r="B17" t="inlineStr">
        <is>
          <t>Major_Incidents</t>
        </is>
      </c>
      <c r="C17" s="2" t="inlineStr">
        <is>
          <t>Major discipline incidents recorded for the student.</t>
        </is>
      </c>
      <c r="D17" t="inlineStr">
        <is>
          <t>Number</t>
        </is>
      </c>
      <c r="E17" t="inlineStr">
        <is>
          <t>discipline.csv</t>
        </is>
      </c>
      <c r="F17" s="2" t="inlineStr">
        <is>
          <t>A subset of Incidents.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2"/>
  <sheetViews>
    <sheetView workbookViewId="0">
      <pane ySplit="3" topLeftCell="A4" activePane="bottomLeft" state="frozen"/>
      <selection pane="bottomLeft" activeCell="A1" sqref="A1"/>
    </sheetView>
  </sheetViews>
  <sheetFormatPr baseColWidth="8" defaultRowHeight="15"/>
  <cols>
    <col width="64" customWidth="1" min="1" max="1"/>
    <col width="10" customWidth="1" min="2" max="2"/>
    <col width="10" customWidth="1" min="3" max="3"/>
  </cols>
  <sheetData>
    <row r="1">
      <c r="A1" s="8" t="inlineStr">
        <is>
          <t>Counts before and after the cleaning pipeline. Before counts come from sql/06_data_validation.sql run on the source files. After counts come from outputs/validation_results.csv.</t>
        </is>
      </c>
    </row>
    <row r="3">
      <c r="A3" s="3" t="inlineStr">
        <is>
          <t>Check</t>
        </is>
      </c>
      <c r="B3" s="3" t="inlineStr">
        <is>
          <t>Before</t>
        </is>
      </c>
      <c r="C3" s="3" t="inlineStr">
        <is>
          <t>After</t>
        </is>
      </c>
    </row>
    <row r="4">
      <c r="A4" t="inlineStr">
        <is>
          <t>Fact rows outside the analysis population, attendance</t>
        </is>
      </c>
      <c r="B4" t="n">
        <v>11</v>
      </c>
      <c r="C4" t="n">
        <v>0</v>
      </c>
    </row>
    <row r="5">
      <c r="A5" t="inlineStr">
        <is>
          <t>Fact rows outside the analysis population, assessments</t>
        </is>
      </c>
      <c r="B5" t="n">
        <v>11</v>
      </c>
      <c r="C5" t="n">
        <v>0</v>
      </c>
    </row>
    <row r="6">
      <c r="A6" t="inlineStr">
        <is>
          <t>Fact rows outside the analysis population, discipline</t>
        </is>
      </c>
      <c r="B6" t="n">
        <v>10</v>
      </c>
      <c r="C6" t="n">
        <v>0</v>
      </c>
    </row>
    <row r="7">
      <c r="A7" t="inlineStr">
        <is>
          <t>Program values with inconsistent casing</t>
        </is>
      </c>
      <c r="B7" t="n">
        <v>1</v>
      </c>
      <c r="C7" t="n">
        <v>0</v>
      </c>
    </row>
    <row r="8">
      <c r="A8" t="inlineStr">
        <is>
          <t>Benchmark values with inconsistent casing</t>
        </is>
      </c>
      <c r="B8" t="n">
        <v>1</v>
      </c>
      <c r="C8" t="n">
        <v>0</v>
      </c>
    </row>
    <row r="9">
      <c r="A9" t="inlineStr">
        <is>
          <t>Attendance rows where present plus absent differs from enrolled</t>
        </is>
      </c>
      <c r="B9" t="n">
        <v>0</v>
      </c>
      <c r="C9" t="n">
        <v>0</v>
      </c>
    </row>
    <row r="10">
      <c r="A10" t="inlineStr">
        <is>
          <t>Assessment rows breaking the benchmark rule</t>
        </is>
      </c>
      <c r="B10" t="n">
        <v>0</v>
      </c>
      <c r="C10" t="n">
        <v>0</v>
      </c>
    </row>
    <row r="12">
      <c r="A12" t="inlineStr">
        <is>
          <t>The pipeline validation suite records 15 of 15 checks passing on the processed tables. The full list sits in outputs/validation_results.csv.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2026-10-24T01:55:08Z</dcterms:created>
  <dcterms:modified xsi:type="dcterms:W3CDTF">2026-10-24T01:55:08Z</dcterms:modified>
</cp:coreProperties>
</file>