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9" activeTab="11" autoFilterDateGrouping="1"/>
  </bookViews>
  <sheets>
    <sheet xmlns:r="http://schemas.openxmlformats.org/officeDocument/2006/relationships" name="Portfolio Dashboard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Data_Model1" sheetId="3" state="visible" r:id="rId3"/>
    <sheet xmlns:r="http://schemas.openxmlformats.org/officeDocument/2006/relationships" name="Student_Analysis_Ready" sheetId="4" state="visible" r:id="rId4"/>
    <sheet xmlns:r="http://schemas.openxmlformats.org/officeDocument/2006/relationships" name="Attendence_Analysis_Ready" sheetId="5" state="visible" r:id="rId5"/>
    <sheet xmlns:r="http://schemas.openxmlformats.org/officeDocument/2006/relationships" name="Assessment_Analysis_Ready" sheetId="6" state="visible" r:id="rId6"/>
    <sheet xmlns:r="http://schemas.openxmlformats.org/officeDocument/2006/relationships" name="Discipline_Analysis_Ready" sheetId="7" state="visible" r:id="rId7"/>
    <sheet xmlns:r="http://schemas.openxmlformats.org/officeDocument/2006/relationships" name="Data_Quality_Log" sheetId="8" state="visible" r:id="rId8"/>
    <sheet xmlns:r="http://schemas.openxmlformats.org/officeDocument/2006/relationships" name="Student_Outcome_Analysis" sheetId="9" state="visible" r:id="rId9"/>
    <sheet xmlns:r="http://schemas.openxmlformats.org/officeDocument/2006/relationships" name="Grade Analysis" sheetId="10" state="visible" r:id="rId10"/>
    <sheet xmlns:r="http://schemas.openxmlformats.org/officeDocument/2006/relationships" name="Program Analysis" sheetId="11" state="visible" r:id="rId11"/>
    <sheet xmlns:r="http://schemas.openxmlformats.org/officeDocument/2006/relationships" name="Attendance VS Assessment" sheetId="12" state="visible" r:id="rId12"/>
    <sheet xmlns:r="http://schemas.openxmlformats.org/officeDocument/2006/relationships" name="Leadership Dashboard" sheetId="13" state="visible" r:id="rId13"/>
    <sheet xmlns:r="http://schemas.openxmlformats.org/officeDocument/2006/relationships" name="Dashboard Data" sheetId="14" state="visible" r:id="rId14"/>
  </sheets>
  <definedNames/>
  <calcPr calcId="181029" fullCalcOnLoad="1" iterateDelta="0.0001"/>
  <pivotCaches>
    <pivotCache xmlns:r="http://schemas.openxmlformats.org/officeDocument/2006/relationships" cacheId="0" r:id="rId15"/>
    <pivotCache xmlns:r="http://schemas.openxmlformats.org/officeDocument/2006/relationships" cacheId="2" r:id="rId16"/>
  </pivotCaches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0.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b val="1"/>
      <color rgb="00FFFFFF"/>
      <sz val="22"/>
    </font>
    <font>
      <i val="1"/>
      <color rgb="00667085"/>
      <sz val="11"/>
    </font>
    <font>
      <b val="1"/>
      <color rgb="00667085"/>
      <sz val="10"/>
    </font>
    <font>
      <b val="1"/>
      <color rgb="0016324F"/>
      <sz val="22"/>
    </font>
    <font>
      <b val="1"/>
      <color rgb="0016324F"/>
      <sz val="13"/>
    </font>
    <font>
      <b val="1"/>
      <color rgb="00FFFFFF"/>
    </font>
    <font>
      <b val="1"/>
      <color rgb="0016324F"/>
      <sz val="12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0016324F"/>
      </patternFill>
    </fill>
    <fill>
      <patternFill patternType="solid">
        <fgColor rgb="00EAF2F8"/>
      </patternFill>
    </fill>
    <fill>
      <patternFill patternType="solid">
        <fgColor rgb="002F6690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164" fontId="0" fillId="0" borderId="0" pivotButton="0" quotePrefix="0" xfId="0"/>
    <xf numFmtId="0" fontId="2" fillId="0" borderId="2" applyAlignment="1" pivotButton="0" quotePrefix="0" xfId="0">
      <alignment vertical="top"/>
    </xf>
    <xf numFmtId="0" fontId="2" fillId="0" borderId="0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3" pivotButton="0" quotePrefix="0" xfId="0"/>
    <xf numFmtId="165" fontId="1" fillId="3" borderId="3" pivotButton="0" quotePrefix="0" xfId="0"/>
    <xf numFmtId="0" fontId="0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7" fillId="0" borderId="0" pivotButton="0" quotePrefix="0" xfId="0"/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165" fontId="9" fillId="5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6" borderId="0" applyAlignment="1" pivotButton="0" quotePrefix="0" xfId="0">
      <alignment horizontal="center"/>
    </xf>
    <xf numFmtId="0" fontId="12" fillId="0" borderId="0" pivotButton="0" quotePrefix="0" xfId="0"/>
    <xf numFmtId="0" fontId="0" fillId="7" borderId="0" applyAlignment="1" pivotButton="0" quotePrefix="0" xfId="0">
      <alignment vertical="top" wrapText="1"/>
    </xf>
  </cellXfs>
  <cellStyles count="1">
    <cellStyle name="Normal" xfId="0" builtinId="0"/>
  </cellStyles>
  <dxfs count="20"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pivotCacheDefinition" Target="/xl/pivotCache/pivotCacheDefinition1.xml" Id="rId15"/><Relationship Type="http://schemas.openxmlformats.org/officeDocument/2006/relationships/pivotCacheDefinition" Target="/xl/pivotCache/pivotCacheDefinition2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Attendance by Grade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'Portfolio Dashboard'!C11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 Dashboard'!$B$12:$B$15</f>
            </numRef>
          </cat>
          <val>
            <numRef>
              <f>'Portfolio Dashboard'!$C$12:$C$15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7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Assessment by Grade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'Portfolio Dashboard'!F11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 Dashboard'!$E$12:$E$15</f>
            </numRef>
          </cat>
          <val>
            <numRef>
              <f>'Portfolio Dashboard'!$F$12:$F$15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6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Students by Attendance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'Portfolio Dashboard'!I11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 Dashboard'!$H$12:$H$15</f>
            </numRef>
          </cat>
          <val>
            <numRef>
              <f>'Portfolio Dashboard'!$I$12:$I$15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Attendance by Grade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'Dashboard Data'!$B$5</f>
              <strCache>
                <ptCount val="1"/>
                <pt idx="0">
                  <v>Grade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'Dashboard Data'!$B$6:$B$9</f>
              <numCache>
                <formatCode>General</formatCode>
                <ptCount val="4"/>
                <pt idx="0">
                  <v>5</v>
                </pt>
                <pt idx="1">
                  <v>6</v>
                </pt>
                <pt idx="2">
                  <v>7</v>
                </pt>
                <pt idx="3">
                  <v>8</v>
                </pt>
              </numCache>
            </numRef>
          </val>
        </ser>
        <ser>
          <idx val="1"/>
          <order val="1"/>
          <tx>
            <strRef>
              <f>'Dashboard Data'!$C$5</f>
              <strCache>
                <ptCount val="1"/>
                <pt idx="0">
                  <v>Average Attendance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'Dashboard Data'!$C$6:$C$9</f>
              <numCache>
                <formatCode>0.0</formatCode>
                <ptCount val="4"/>
                <pt idx="0">
                  <v>91.48518518518519</v>
                </pt>
                <pt idx="1">
                  <v>91.28</v>
                </pt>
                <pt idx="2">
                  <v>93.47727272727273</v>
                </pt>
                <pt idx="3">
                  <v>91.53414634146341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500353871"/>
        <axId val="1467041967"/>
      </barChart>
      <catAx>
        <axId val="1500353871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67041967"/>
        <crosses val="autoZero"/>
        <auto val="0"/>
        <lblAlgn val="ctr"/>
        <lblOffset val="100"/>
        <noMultiLvlLbl val="0"/>
      </catAx>
      <valAx>
        <axId val="1467041967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strike="noStrike" kern="1200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</a:rPr>
                  <a:t>Attendance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0035387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</a:t>
            </a:r>
            <a:r>
              <a:rPr lang="en-US"/>
              <a:t>Assessment Score by Grade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'Dashboard Data'!$F$5</f>
              <strCache>
                <ptCount val="1"/>
                <pt idx="0">
                  <v>Grade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'Dashboard Data'!$F$6:$F$9</f>
              <numCache>
                <formatCode>General</formatCode>
                <ptCount val="4"/>
                <pt idx="0">
                  <v>5</v>
                </pt>
                <pt idx="1">
                  <v>6</v>
                </pt>
                <pt idx="2">
                  <v>7</v>
                </pt>
                <pt idx="3">
                  <v>8</v>
                </pt>
              </numCache>
            </numRef>
          </val>
        </ser>
        <ser>
          <idx val="1"/>
          <order val="1"/>
          <tx>
            <strRef>
              <f>'Dashboard Data'!$G$5</f>
              <strCache>
                <ptCount val="1"/>
                <pt idx="0">
                  <v>Average Assessment Score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'Dashboard Data'!$G$6:$G$9</f>
              <numCache>
                <formatCode>0.0</formatCode>
                <ptCount val="4"/>
                <pt idx="0">
                  <v>80.48148148148148</v>
                </pt>
                <pt idx="1">
                  <v>75.8</v>
                </pt>
                <pt idx="2">
                  <v>76.95652173913044</v>
                </pt>
                <pt idx="3">
                  <v>78.61538461538461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528359407"/>
        <axId val="1524798591"/>
      </barChart>
      <catAx>
        <axId val="1528359407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24798591"/>
        <crosses val="autoZero"/>
        <auto val="1"/>
        <lblAlgn val="ctr"/>
        <lblOffset val="100"/>
        <noMultiLvlLbl val="0"/>
      </catAx>
      <valAx>
        <axId val="152479859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Assessment Score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2835940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Assessment Score by Program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'Dashboard Data'!$K$5</f>
              <strCache>
                <ptCount val="1"/>
                <pt idx="0">
                  <v>Average of Assessment_Score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Data'!$J$6:$J$9</f>
              <strCache>
                <ptCount val="4"/>
                <pt idx="0">
                  <v>Core</v>
                </pt>
                <pt idx="1">
                  <v>MTSS Tier 1</v>
                </pt>
                <pt idx="2">
                  <v>MTSS Tier 2</v>
                </pt>
                <pt idx="3">
                  <v>MTSS Tier 3</v>
                </pt>
              </strCache>
            </strRef>
          </cat>
          <val>
            <numRef>
              <f>'Dashboard Data'!$K$6:$K$9</f>
              <numCache>
                <formatCode>0.0</formatCode>
                <ptCount val="4"/>
                <pt idx="0">
                  <v>78.75</v>
                </pt>
                <pt idx="1">
                  <v>74.70967741935483</v>
                </pt>
                <pt idx="2">
                  <v>80.05882352941177</v>
                </pt>
                <pt idx="3">
                  <v>81.7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529928543"/>
        <axId val="1489508303"/>
      </barChart>
      <catAx>
        <axId val="152992854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Program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89508303"/>
        <crosses val="autoZero"/>
        <auto val="1"/>
        <lblAlgn val="ctr"/>
        <lblOffset val="100"/>
        <noMultiLvlLbl val="0"/>
      </catAx>
      <valAx>
        <axId val="14895083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Assessment Score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2992854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Vs Assessment Score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'Dashboard Data'!$C$14</f>
              <strCache>
                <ptCount val="1"/>
                <pt idx="0">
                  <v>Average of Assessment_Score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Data'!$B$15:$B$96</f>
              <strCache>
                <ptCount val="82"/>
                <pt idx="0">
                  <v>75</v>
                </pt>
                <pt idx="1">
                  <v>75.3</v>
                </pt>
                <pt idx="2">
                  <v>76.3</v>
                </pt>
                <pt idx="3">
                  <v>79.2</v>
                </pt>
                <pt idx="4">
                  <v>79.4</v>
                </pt>
                <pt idx="5">
                  <v>80.4</v>
                </pt>
                <pt idx="6">
                  <v>81.1</v>
                </pt>
                <pt idx="7">
                  <v>81.6</v>
                </pt>
                <pt idx="8">
                  <v>82.1</v>
                </pt>
                <pt idx="9">
                  <v>83.3</v>
                </pt>
                <pt idx="10">
                  <v>83.6</v>
                </pt>
                <pt idx="11">
                  <v>83.8</v>
                </pt>
                <pt idx="12">
                  <v>84.2</v>
                </pt>
                <pt idx="13">
                  <v>84.4</v>
                </pt>
                <pt idx="14">
                  <v>84.5</v>
                </pt>
                <pt idx="15">
                  <v>84.6</v>
                </pt>
                <pt idx="16">
                  <v>85.4</v>
                </pt>
                <pt idx="17">
                  <v>85.5</v>
                </pt>
                <pt idx="18">
                  <v>86.1</v>
                </pt>
                <pt idx="19">
                  <v>86.3</v>
                </pt>
                <pt idx="20">
                  <v>86.7</v>
                </pt>
                <pt idx="21">
                  <v>87.1</v>
                </pt>
                <pt idx="22">
                  <v>87.9</v>
                </pt>
                <pt idx="23">
                  <v>88.4</v>
                </pt>
                <pt idx="24">
                  <v>88.6</v>
                </pt>
                <pt idx="25">
                  <v>88.7</v>
                </pt>
                <pt idx="26">
                  <v>88.9</v>
                </pt>
                <pt idx="27">
                  <v>89.1</v>
                </pt>
                <pt idx="28">
                  <v>89.3</v>
                </pt>
                <pt idx="29">
                  <v>89.9</v>
                </pt>
                <pt idx="30">
                  <v>90</v>
                </pt>
                <pt idx="31">
                  <v>90.6</v>
                </pt>
                <pt idx="32">
                  <v>91.1</v>
                </pt>
                <pt idx="33">
                  <v>91.2</v>
                </pt>
                <pt idx="34">
                  <v>91.5</v>
                </pt>
                <pt idx="35">
                  <v>91.7</v>
                </pt>
                <pt idx="36">
                  <v>91.8</v>
                </pt>
                <pt idx="37">
                  <v>92</v>
                </pt>
                <pt idx="38">
                  <v>92.2</v>
                </pt>
                <pt idx="39">
                  <v>92.4</v>
                </pt>
                <pt idx="40">
                  <v>92.6</v>
                </pt>
                <pt idx="41">
                  <v>93</v>
                </pt>
                <pt idx="42">
                  <v>93.1</v>
                </pt>
                <pt idx="43">
                  <v>93.3</v>
                </pt>
                <pt idx="44">
                  <v>93.5</v>
                </pt>
                <pt idx="45">
                  <v>93.6</v>
                </pt>
                <pt idx="46">
                  <v>93.7</v>
                </pt>
                <pt idx="47">
                  <v>93.8</v>
                </pt>
                <pt idx="48">
                  <v>94</v>
                </pt>
                <pt idx="49">
                  <v>94.6</v>
                </pt>
                <pt idx="50">
                  <v>94.7</v>
                </pt>
                <pt idx="51">
                  <v>94.9</v>
                </pt>
                <pt idx="52">
                  <v>95.1</v>
                </pt>
                <pt idx="53">
                  <v>95.2</v>
                </pt>
                <pt idx="54">
                  <v>95.3</v>
                </pt>
                <pt idx="55">
                  <v>95.4</v>
                </pt>
                <pt idx="56">
                  <v>95.5</v>
                </pt>
                <pt idx="57">
                  <v>95.6</v>
                </pt>
                <pt idx="58">
                  <v>95.7</v>
                </pt>
                <pt idx="59">
                  <v>95.9</v>
                </pt>
                <pt idx="60">
                  <v>96</v>
                </pt>
                <pt idx="61">
                  <v>96.2</v>
                </pt>
                <pt idx="62">
                  <v>96.3</v>
                </pt>
                <pt idx="63">
                  <v>96.8</v>
                </pt>
                <pt idx="64">
                  <v>96.9</v>
                </pt>
                <pt idx="65">
                  <v>97.2</v>
                </pt>
                <pt idx="66">
                  <v>97.4</v>
                </pt>
                <pt idx="67">
                  <v>97.6</v>
                </pt>
                <pt idx="68">
                  <v>97.7</v>
                </pt>
                <pt idx="69">
                  <v>98</v>
                </pt>
                <pt idx="70">
                  <v>98.1</v>
                </pt>
                <pt idx="71">
                  <v>98.2</v>
                </pt>
                <pt idx="72">
                  <v>98.3</v>
                </pt>
                <pt idx="73">
                  <v>98.4</v>
                </pt>
                <pt idx="74">
                  <v>98.6</v>
                </pt>
                <pt idx="75">
                  <v>98.8</v>
                </pt>
                <pt idx="76">
                  <v>98.9</v>
                </pt>
                <pt idx="77">
                  <v>99</v>
                </pt>
                <pt idx="78">
                  <v>99.3</v>
                </pt>
                <pt idx="79">
                  <v>99.4</v>
                </pt>
                <pt idx="80">
                  <v>100</v>
                </pt>
                <pt idx="81">
                  <v>Not Available</v>
                </pt>
              </strCache>
            </strRef>
          </cat>
          <val>
            <numRef>
              <f>'Dashboard Data'!$C$15:$C$96</f>
              <numCache>
                <formatCode>0.0</formatCode>
                <ptCount val="82"/>
                <pt idx="0">
                  <v>85</v>
                </pt>
                <pt idx="1">
                  <v>86</v>
                </pt>
                <pt idx="2">
                  <v>100</v>
                </pt>
                <pt idx="3">
                  <v>0</v>
                </pt>
                <pt idx="4">
                  <v>69</v>
                </pt>
                <pt idx="5">
                  <v>79</v>
                </pt>
                <pt idx="6">
                  <v>70</v>
                </pt>
                <pt idx="7">
                  <v>61</v>
                </pt>
                <pt idx="8">
                  <v>89</v>
                </pt>
                <pt idx="9">
                  <v>71</v>
                </pt>
                <pt idx="10">
                  <v>75</v>
                </pt>
                <pt idx="11">
                  <v>80.5</v>
                </pt>
                <pt idx="12">
                  <v>86.5</v>
                </pt>
                <pt idx="13">
                  <v>66</v>
                </pt>
                <pt idx="14">
                  <v>87</v>
                </pt>
                <pt idx="15">
                  <v>73.5</v>
                </pt>
                <pt idx="16">
                  <v>79</v>
                </pt>
                <pt idx="17">
                  <v>67</v>
                </pt>
                <pt idx="18">
                  <v>72</v>
                </pt>
                <pt idx="19">
                  <v>100</v>
                </pt>
                <pt idx="20">
                  <v>93</v>
                </pt>
                <pt idx="21">
                  <v>92</v>
                </pt>
                <pt idx="22">
                  <v>87.5</v>
                </pt>
                <pt idx="23">
                  <v>58</v>
                </pt>
                <pt idx="24">
                  <v>81.5</v>
                </pt>
                <pt idx="25">
                  <v>85</v>
                </pt>
                <pt idx="26">
                  <v>74</v>
                </pt>
                <pt idx="27">
                  <v>65</v>
                </pt>
                <pt idx="28">
                  <v>76</v>
                </pt>
                <pt idx="29">
                  <v>66</v>
                </pt>
                <pt idx="30">
                  <v>82</v>
                </pt>
                <pt idx="31">
                  <v>74</v>
                </pt>
                <pt idx="32">
                  <v>78</v>
                </pt>
                <pt idx="33">
                  <v>75</v>
                </pt>
                <pt idx="34">
                  <v>97</v>
                </pt>
                <pt idx="35">
                  <v>85</v>
                </pt>
                <pt idx="36">
                  <v>85.5</v>
                </pt>
                <pt idx="37">
                  <v>72</v>
                </pt>
                <pt idx="38">
                  <v>88</v>
                </pt>
                <pt idx="39">
                  <v>76</v>
                </pt>
                <pt idx="40">
                  <v>88</v>
                </pt>
                <pt idx="41">
                  <v>86</v>
                </pt>
                <pt idx="42">
                  <v>81.66666666666667</v>
                </pt>
                <pt idx="43">
                  <v>74.5</v>
                </pt>
                <pt idx="44">
                  <v>87</v>
                </pt>
                <pt idx="45">
                  <v>62.5</v>
                </pt>
                <pt idx="46">
                  <v>65</v>
                </pt>
                <pt idx="47">
                  <v>84</v>
                </pt>
                <pt idx="48">
                  <v>69</v>
                </pt>
                <pt idx="49">
                  <v>82.5</v>
                </pt>
                <pt idx="50">
                  <v>100</v>
                </pt>
                <pt idx="51">
                  <v>92.5</v>
                </pt>
                <pt idx="52">
                  <v>79</v>
                </pt>
                <pt idx="53">
                  <v>48</v>
                </pt>
                <pt idx="54">
                  <v>64</v>
                </pt>
                <pt idx="55">
                  <v>78</v>
                </pt>
                <pt idx="56">
                  <v>83</v>
                </pt>
                <pt idx="57">
                  <v>83</v>
                </pt>
                <pt idx="58">
                  <v>0</v>
                </pt>
                <pt idx="59">
                  <v>90</v>
                </pt>
                <pt idx="60">
                  <v>79.5</v>
                </pt>
                <pt idx="61">
                  <v>100</v>
                </pt>
                <pt idx="62">
                  <v>85.5</v>
                </pt>
                <pt idx="63">
                  <v>78</v>
                </pt>
                <pt idx="64">
                  <v>67.5</v>
                </pt>
                <pt idx="65">
                  <v>80</v>
                </pt>
                <pt idx="66">
                  <v>61</v>
                </pt>
                <pt idx="67">
                  <v>60</v>
                </pt>
                <pt idx="68">
                  <v>77</v>
                </pt>
                <pt idx="69">
                  <v>55</v>
                </pt>
                <pt idx="70">
                  <v>83</v>
                </pt>
                <pt idx="71">
                  <v>75</v>
                </pt>
                <pt idx="72">
                  <v>79</v>
                </pt>
                <pt idx="73">
                  <v>61.5</v>
                </pt>
                <pt idx="74">
                  <v>76</v>
                </pt>
                <pt idx="75">
                  <v>78</v>
                </pt>
                <pt idx="76">
                  <v>68</v>
                </pt>
                <pt idx="77">
                  <v>100</v>
                </pt>
                <pt idx="78">
                  <v>60</v>
                </pt>
                <pt idx="79">
                  <v>81.5</v>
                </pt>
                <pt idx="80">
                  <v>79.66666666666667</v>
                </pt>
                <pt idx="81">
                  <v>73.5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70207455"/>
        <axId val="1387836735"/>
      </barChart>
      <catAx>
        <axId val="1470207455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Attendance 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87836735"/>
        <crosses val="autoZero"/>
        <auto val="1"/>
        <lblAlgn val="ctr"/>
        <lblOffset val="100"/>
        <noMultiLvlLbl val="0"/>
      </catAx>
      <valAx>
        <axId val="138783673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Assessment</a:t>
                </a:r>
                <a:r>
                  <a:rPr lang="en-US" baseline="0"/>
                  <a:t xml:space="preserve"> Score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7020745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Attendance by Grade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'Dashboard Data'!$B$5</f>
              <strCache>
                <ptCount val="1"/>
                <pt idx="0">
                  <v>Grade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'Dashboard Data'!$B$6:$B$9</f>
              <numCache>
                <formatCode>General</formatCode>
                <ptCount val="4"/>
                <pt idx="0">
                  <v>5</v>
                </pt>
                <pt idx="1">
                  <v>6</v>
                </pt>
                <pt idx="2">
                  <v>7</v>
                </pt>
                <pt idx="3">
                  <v>8</v>
                </pt>
              </numCache>
            </numRef>
          </val>
        </ser>
        <ser>
          <idx val="1"/>
          <order val="1"/>
          <tx>
            <strRef>
              <f>'Dashboard Data'!$C$5</f>
              <strCache>
                <ptCount val="1"/>
                <pt idx="0">
                  <v>Average Attendance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'Dashboard Data'!$C$6:$C$9</f>
              <numCache>
                <formatCode>0.0</formatCode>
                <ptCount val="4"/>
                <pt idx="0">
                  <v>91.48518518518519</v>
                </pt>
                <pt idx="1">
                  <v>91.28</v>
                </pt>
                <pt idx="2">
                  <v>93.47727272727273</v>
                </pt>
                <pt idx="3">
                  <v>91.53414634146341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500353871"/>
        <axId val="1467041967"/>
      </barChart>
      <catAx>
        <axId val="1500353871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67041967"/>
        <crosses val="autoZero"/>
        <auto val="1"/>
        <lblAlgn val="ctr"/>
        <lblOffset val="100"/>
        <noMultiLvlLbl val="0"/>
      </catAx>
      <valAx>
        <axId val="146704196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0035387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Assessment Score by Grade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'Dashboard Data'!$F$5</f>
              <strCache>
                <ptCount val="1"/>
                <pt idx="0">
                  <v>Grade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'Dashboard Data'!$F$6:$F$9</f>
              <numCache>
                <formatCode>General</formatCode>
                <ptCount val="4"/>
                <pt idx="0">
                  <v>5</v>
                </pt>
                <pt idx="1">
                  <v>6</v>
                </pt>
                <pt idx="2">
                  <v>7</v>
                </pt>
                <pt idx="3">
                  <v>8</v>
                </pt>
              </numCache>
            </numRef>
          </val>
        </ser>
        <ser>
          <idx val="1"/>
          <order val="1"/>
          <tx>
            <strRef>
              <f>'Dashboard Data'!$G$5</f>
              <strCache>
                <ptCount val="1"/>
                <pt idx="0">
                  <v>Average Assessment Score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'Dashboard Data'!$G$6:$G$9</f>
              <numCache>
                <formatCode>0.0</formatCode>
                <ptCount val="4"/>
                <pt idx="0">
                  <v>80.48148148148148</v>
                </pt>
                <pt idx="1">
                  <v>75.8</v>
                </pt>
                <pt idx="2">
                  <v>76.95652173913044</v>
                </pt>
                <pt idx="3">
                  <v>78.61538461538461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528359407"/>
        <axId val="1524798591"/>
      </barChart>
      <catAx>
        <axId val="1528359407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24798591"/>
        <crosses val="autoZero"/>
        <auto val="1"/>
        <lblAlgn val="ctr"/>
        <lblOffset val="100"/>
        <noMultiLvlLbl val="0"/>
      </catAx>
      <valAx>
        <axId val="152479859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Assessment Score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2835940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Assessment Score by Program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'Dashboard Data'!$K$5</f>
              <strCache>
                <ptCount val="1"/>
                <pt idx="0">
                  <v>Average of Assessment_Score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Data'!$J$6:$J$9</f>
              <strCache>
                <ptCount val="4"/>
                <pt idx="0">
                  <v>Core</v>
                </pt>
                <pt idx="1">
                  <v>MTSS Tier 1</v>
                </pt>
                <pt idx="2">
                  <v>MTSS Tier 2</v>
                </pt>
                <pt idx="3">
                  <v>MTSS Tier 3</v>
                </pt>
              </strCache>
            </strRef>
          </cat>
          <val>
            <numRef>
              <f>'Dashboard Data'!$K$6:$K$9</f>
              <numCache>
                <formatCode>0.0</formatCode>
                <ptCount val="4"/>
                <pt idx="0">
                  <v>78.75</v>
                </pt>
                <pt idx="1">
                  <v>74.70967741935483</v>
                </pt>
                <pt idx="2">
                  <v>80.05882352941177</v>
                </pt>
                <pt idx="3">
                  <v>81.7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529928543"/>
        <axId val="1489508303"/>
      </barChart>
      <catAx>
        <axId val="152992854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Program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89508303"/>
        <crosses val="autoZero"/>
        <auto val="1"/>
        <lblAlgn val="ctr"/>
        <lblOffset val="100"/>
        <noMultiLvlLbl val="0"/>
      </catAx>
      <valAx>
        <axId val="14895083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Assessment Score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2992854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Vs Assessment Score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'Dashboard Data'!$C$14</f>
              <strCache>
                <ptCount val="1"/>
                <pt idx="0">
                  <v>Average of Assessment_Score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Data'!$B$15:$B$96</f>
              <strCache>
                <ptCount val="82"/>
                <pt idx="0">
                  <v>75</v>
                </pt>
                <pt idx="1">
                  <v>75.3</v>
                </pt>
                <pt idx="2">
                  <v>76.3</v>
                </pt>
                <pt idx="3">
                  <v>79.2</v>
                </pt>
                <pt idx="4">
                  <v>79.4</v>
                </pt>
                <pt idx="5">
                  <v>80.4</v>
                </pt>
                <pt idx="6">
                  <v>81.1</v>
                </pt>
                <pt idx="7">
                  <v>81.6</v>
                </pt>
                <pt idx="8">
                  <v>82.1</v>
                </pt>
                <pt idx="9">
                  <v>83.3</v>
                </pt>
                <pt idx="10">
                  <v>83.6</v>
                </pt>
                <pt idx="11">
                  <v>83.8</v>
                </pt>
                <pt idx="12">
                  <v>84.2</v>
                </pt>
                <pt idx="13">
                  <v>84.4</v>
                </pt>
                <pt idx="14">
                  <v>84.5</v>
                </pt>
                <pt idx="15">
                  <v>84.6</v>
                </pt>
                <pt idx="16">
                  <v>85.4</v>
                </pt>
                <pt idx="17">
                  <v>85.5</v>
                </pt>
                <pt idx="18">
                  <v>86.1</v>
                </pt>
                <pt idx="19">
                  <v>86.3</v>
                </pt>
                <pt idx="20">
                  <v>86.7</v>
                </pt>
                <pt idx="21">
                  <v>87.1</v>
                </pt>
                <pt idx="22">
                  <v>87.9</v>
                </pt>
                <pt idx="23">
                  <v>88.4</v>
                </pt>
                <pt idx="24">
                  <v>88.6</v>
                </pt>
                <pt idx="25">
                  <v>88.7</v>
                </pt>
                <pt idx="26">
                  <v>88.9</v>
                </pt>
                <pt idx="27">
                  <v>89.1</v>
                </pt>
                <pt idx="28">
                  <v>89.3</v>
                </pt>
                <pt idx="29">
                  <v>89.9</v>
                </pt>
                <pt idx="30">
                  <v>90</v>
                </pt>
                <pt idx="31">
                  <v>90.6</v>
                </pt>
                <pt idx="32">
                  <v>91.1</v>
                </pt>
                <pt idx="33">
                  <v>91.2</v>
                </pt>
                <pt idx="34">
                  <v>91.5</v>
                </pt>
                <pt idx="35">
                  <v>91.7</v>
                </pt>
                <pt idx="36">
                  <v>91.8</v>
                </pt>
                <pt idx="37">
                  <v>92</v>
                </pt>
                <pt idx="38">
                  <v>92.2</v>
                </pt>
                <pt idx="39">
                  <v>92.4</v>
                </pt>
                <pt idx="40">
                  <v>92.6</v>
                </pt>
                <pt idx="41">
                  <v>93</v>
                </pt>
                <pt idx="42">
                  <v>93.1</v>
                </pt>
                <pt idx="43">
                  <v>93.3</v>
                </pt>
                <pt idx="44">
                  <v>93.5</v>
                </pt>
                <pt idx="45">
                  <v>93.6</v>
                </pt>
                <pt idx="46">
                  <v>93.7</v>
                </pt>
                <pt idx="47">
                  <v>93.8</v>
                </pt>
                <pt idx="48">
                  <v>94</v>
                </pt>
                <pt idx="49">
                  <v>94.6</v>
                </pt>
                <pt idx="50">
                  <v>94.7</v>
                </pt>
                <pt idx="51">
                  <v>94.9</v>
                </pt>
                <pt idx="52">
                  <v>95.1</v>
                </pt>
                <pt idx="53">
                  <v>95.2</v>
                </pt>
                <pt idx="54">
                  <v>95.3</v>
                </pt>
                <pt idx="55">
                  <v>95.4</v>
                </pt>
                <pt idx="56">
                  <v>95.5</v>
                </pt>
                <pt idx="57">
                  <v>95.6</v>
                </pt>
                <pt idx="58">
                  <v>95.7</v>
                </pt>
                <pt idx="59">
                  <v>95.9</v>
                </pt>
                <pt idx="60">
                  <v>96</v>
                </pt>
                <pt idx="61">
                  <v>96.2</v>
                </pt>
                <pt idx="62">
                  <v>96.3</v>
                </pt>
                <pt idx="63">
                  <v>96.8</v>
                </pt>
                <pt idx="64">
                  <v>96.9</v>
                </pt>
                <pt idx="65">
                  <v>97.2</v>
                </pt>
                <pt idx="66">
                  <v>97.4</v>
                </pt>
                <pt idx="67">
                  <v>97.6</v>
                </pt>
                <pt idx="68">
                  <v>97.7</v>
                </pt>
                <pt idx="69">
                  <v>98</v>
                </pt>
                <pt idx="70">
                  <v>98.1</v>
                </pt>
                <pt idx="71">
                  <v>98.2</v>
                </pt>
                <pt idx="72">
                  <v>98.3</v>
                </pt>
                <pt idx="73">
                  <v>98.4</v>
                </pt>
                <pt idx="74">
                  <v>98.6</v>
                </pt>
                <pt idx="75">
                  <v>98.8</v>
                </pt>
                <pt idx="76">
                  <v>98.9</v>
                </pt>
                <pt idx="77">
                  <v>99</v>
                </pt>
                <pt idx="78">
                  <v>99.3</v>
                </pt>
                <pt idx="79">
                  <v>99.4</v>
                </pt>
                <pt idx="80">
                  <v>100</v>
                </pt>
                <pt idx="81">
                  <v>Not Available</v>
                </pt>
              </strCache>
            </strRef>
          </cat>
          <val>
            <numRef>
              <f>'Dashboard Data'!$C$15:$C$96</f>
              <numCache>
                <formatCode>0.0</formatCode>
                <ptCount val="82"/>
                <pt idx="0">
                  <v>85</v>
                </pt>
                <pt idx="1">
                  <v>86</v>
                </pt>
                <pt idx="2">
                  <v>100</v>
                </pt>
                <pt idx="3">
                  <v>0</v>
                </pt>
                <pt idx="4">
                  <v>69</v>
                </pt>
                <pt idx="5">
                  <v>79</v>
                </pt>
                <pt idx="6">
                  <v>70</v>
                </pt>
                <pt idx="7">
                  <v>61</v>
                </pt>
                <pt idx="8">
                  <v>89</v>
                </pt>
                <pt idx="9">
                  <v>71</v>
                </pt>
                <pt idx="10">
                  <v>75</v>
                </pt>
                <pt idx="11">
                  <v>80.5</v>
                </pt>
                <pt idx="12">
                  <v>86.5</v>
                </pt>
                <pt idx="13">
                  <v>66</v>
                </pt>
                <pt idx="14">
                  <v>87</v>
                </pt>
                <pt idx="15">
                  <v>73.5</v>
                </pt>
                <pt idx="16">
                  <v>79</v>
                </pt>
                <pt idx="17">
                  <v>67</v>
                </pt>
                <pt idx="18">
                  <v>72</v>
                </pt>
                <pt idx="19">
                  <v>100</v>
                </pt>
                <pt idx="20">
                  <v>93</v>
                </pt>
                <pt idx="21">
                  <v>92</v>
                </pt>
                <pt idx="22">
                  <v>87.5</v>
                </pt>
                <pt idx="23">
                  <v>58</v>
                </pt>
                <pt idx="24">
                  <v>81.5</v>
                </pt>
                <pt idx="25">
                  <v>85</v>
                </pt>
                <pt idx="26">
                  <v>74</v>
                </pt>
                <pt idx="27">
                  <v>65</v>
                </pt>
                <pt idx="28">
                  <v>76</v>
                </pt>
                <pt idx="29">
                  <v>66</v>
                </pt>
                <pt idx="30">
                  <v>82</v>
                </pt>
                <pt idx="31">
                  <v>74</v>
                </pt>
                <pt idx="32">
                  <v>78</v>
                </pt>
                <pt idx="33">
                  <v>75</v>
                </pt>
                <pt idx="34">
                  <v>97</v>
                </pt>
                <pt idx="35">
                  <v>85</v>
                </pt>
                <pt idx="36">
                  <v>85.5</v>
                </pt>
                <pt idx="37">
                  <v>72</v>
                </pt>
                <pt idx="38">
                  <v>88</v>
                </pt>
                <pt idx="39">
                  <v>76</v>
                </pt>
                <pt idx="40">
                  <v>88</v>
                </pt>
                <pt idx="41">
                  <v>86</v>
                </pt>
                <pt idx="42">
                  <v>81.66666666666667</v>
                </pt>
                <pt idx="43">
                  <v>74.5</v>
                </pt>
                <pt idx="44">
                  <v>87</v>
                </pt>
                <pt idx="45">
                  <v>62.5</v>
                </pt>
                <pt idx="46">
                  <v>65</v>
                </pt>
                <pt idx="47">
                  <v>84</v>
                </pt>
                <pt idx="48">
                  <v>69</v>
                </pt>
                <pt idx="49">
                  <v>82.5</v>
                </pt>
                <pt idx="50">
                  <v>100</v>
                </pt>
                <pt idx="51">
                  <v>92.5</v>
                </pt>
                <pt idx="52">
                  <v>79</v>
                </pt>
                <pt idx="53">
                  <v>48</v>
                </pt>
                <pt idx="54">
                  <v>64</v>
                </pt>
                <pt idx="55">
                  <v>78</v>
                </pt>
                <pt idx="56">
                  <v>83</v>
                </pt>
                <pt idx="57">
                  <v>83</v>
                </pt>
                <pt idx="58">
                  <v>0</v>
                </pt>
                <pt idx="59">
                  <v>90</v>
                </pt>
                <pt idx="60">
                  <v>79.5</v>
                </pt>
                <pt idx="61">
                  <v>100</v>
                </pt>
                <pt idx="62">
                  <v>85.5</v>
                </pt>
                <pt idx="63">
                  <v>78</v>
                </pt>
                <pt idx="64">
                  <v>67.5</v>
                </pt>
                <pt idx="65">
                  <v>80</v>
                </pt>
                <pt idx="66">
                  <v>61</v>
                </pt>
                <pt idx="67">
                  <v>60</v>
                </pt>
                <pt idx="68">
                  <v>77</v>
                </pt>
                <pt idx="69">
                  <v>55</v>
                </pt>
                <pt idx="70">
                  <v>83</v>
                </pt>
                <pt idx="71">
                  <v>75</v>
                </pt>
                <pt idx="72">
                  <v>79</v>
                </pt>
                <pt idx="73">
                  <v>61.5</v>
                </pt>
                <pt idx="74">
                  <v>76</v>
                </pt>
                <pt idx="75">
                  <v>78</v>
                </pt>
                <pt idx="76">
                  <v>68</v>
                </pt>
                <pt idx="77">
                  <v>100</v>
                </pt>
                <pt idx="78">
                  <v>60</v>
                </pt>
                <pt idx="79">
                  <v>81.5</v>
                </pt>
                <pt idx="80">
                  <v>79.66666666666667</v>
                </pt>
                <pt idx="81">
                  <v>73.5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70207455"/>
        <axId val="1387836735"/>
      </barChart>
      <catAx>
        <axId val="1470207455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Attendance 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87836735"/>
        <crosses val="autoZero"/>
        <auto val="1"/>
        <lblAlgn val="ctr"/>
        <lblOffset val="100"/>
        <noMultiLvlLbl val="0"/>
      </catAx>
      <valAx>
        <axId val="138783673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Assessment</a:t>
                </a:r>
                <a:r>
                  <a:rPr lang="en-US" baseline="0"/>
                  <a:t xml:space="preserve"> Score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7020745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OpenAI</author>
  </authors>
  <commentList>
    <comment ref="A12" authorId="0" shapeId="0">
      <text>
        <t>Review Required: duplicate Student_ID S1004 with conflicting details.</t>
      </text>
    </comment>
    <comment ref="A13" authorId="0" shapeId="0">
      <text>
        <t>Review Required: duplicate Student_ID S1004 with conflicting details.</t>
      </text>
    </comment>
    <comment ref="A17" authorId="0" shapeId="0">
      <text>
        <t>Review Required: Days Present exceeds Days Enrolled; source verification required.</t>
      </text>
    </comment>
    <comment ref="E17" authorId="0" shapeId="0">
      <text>
        <t>Review required: Days Present exceeds Days Enrolled; source values are internally inconsistent and cannot be safely corrected.</t>
      </text>
    </comment>
    <comment ref="E20" authorId="0" shapeId="0">
      <text>
        <t>Review Required: score &gt;100; scoring scale has not been established.</t>
      </text>
    </comment>
    <comment ref="C24" authorId="0" shapeId="0">
      <text>
        <t>Review Required: negative incident count is invalid; source verification required.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18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33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>
    <from>
      <col>0</col>
      <colOff>323850</colOff>
      <row>10</row>
      <rowOff>142875</rowOff>
    </from>
    <to>
      <col>3</col>
      <colOff>1190625</colOff>
      <row>25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0</colOff>
      <row>10</row>
      <rowOff>114300</rowOff>
    </from>
    <to>
      <col>10</col>
      <colOff>66675</colOff>
      <row>25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</col>
      <colOff>0</colOff>
      <row>8</row>
      <rowOff>0</rowOff>
    </from>
    <to>
      <col>3</col>
      <colOff>914400</colOff>
      <row>22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3</col>
      <colOff>342900</colOff>
      <row>5</row>
      <rowOff>180975</rowOff>
    </from>
    <to>
      <col>8</col>
      <colOff>342900</colOff>
      <row>20</row>
      <rowOff>66675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2</col>
      <colOff>0</colOff>
      <row>6</row>
      <rowOff>0</rowOff>
    </from>
    <to>
      <col>8</col>
      <colOff>219075</colOff>
      <row>20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0</colOff>
      <row>6</row>
      <rowOff>0</rowOff>
    </from>
    <to>
      <col>17</col>
      <colOff>304800</colOff>
      <row>20</row>
      <rowOff>76200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</col>
      <colOff>0</colOff>
      <row>24</row>
      <rowOff>0</rowOff>
    </from>
    <to>
      <col>8</col>
      <colOff>219075</colOff>
      <row>38</row>
      <rowOff>76200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9</col>
      <colOff>0</colOff>
      <row>24</row>
      <rowOff>0</rowOff>
    </from>
    <to>
      <col>19</col>
      <colOff>0</colOff>
      <row>38</row>
      <rowOff>76200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Tarini Akula Ramesh" refreshedDate="46257.68085" createdVersion="8" refreshedVersion="8" minRefreshableVersion="3" recordCount="117" r:id="rId1">
  <cacheSource type="worksheet">
    <worksheetSource ref="A1:L118" sheet="Student_Outcome_Analysis"/>
  </cacheSource>
  <cacheFields count="12">
    <cacheField name="Student_ID" uniqueList="1" numFmtId="0" sqlType="0" hierarchy="0" level="0" databaseField="1">
      <sharedItems count="0"/>
    </cacheField>
    <cacheField name="Full Name" uniqueList="1" numFmtId="0" sqlType="0" hierarchy="0" level="0" databaseField="1">
      <sharedItems count="0"/>
    </cacheField>
    <cacheField name="Grade" uniqueList="1" numFmtId="0" sqlType="0" hierarchy="0" level="0" databaseField="1">
      <sharedItems count="4" containsInteger="1" containsNumber="1" containsSemiMixedTypes="0" containsString="0" minValue="5" maxValue="8">
        <n v="8"/>
        <n v="5"/>
        <n v="7"/>
        <n v="6"/>
      </sharedItems>
    </cacheField>
    <cacheField name="Program" uniqueList="1" numFmtId="0" sqlType="0" hierarchy="0" level="0" databaseField="1">
      <sharedItems count="4">
        <s v="MTSS Tier 2"/>
        <s v="MTSS Tier 1"/>
        <s v="Core"/>
        <s v="MTSS Tier 3"/>
      </sharedItems>
    </cacheField>
    <cacheField name="Enrollment_Status" uniqueList="1" numFmtId="0" sqlType="0" hierarchy="0" level="0" databaseField="1">
      <sharedItems count="0"/>
    </cacheField>
    <cacheField name="Attendance_Rate" uniqueList="1" numFmtId="0" sqlType="0" hierarchy="0" level="0" databaseField="1">
      <sharedItems count="82" containsMixedTypes="1" containsNumber="1" minValue="75" maxValue="100">
        <n v="87.09999999999999"/>
        <n v="94.90000000000001"/>
        <n v="97.2"/>
        <n v="100"/>
        <n v="88.40000000000001"/>
        <s v="Not Available"/>
        <n v="82.09999999999999"/>
        <n v="84.2"/>
        <n v="93.5"/>
        <n v="86.09999999999999"/>
        <n v="83.3"/>
        <n v="95.09999999999999"/>
        <n v="80.40000000000001"/>
        <n v="98.59999999999999"/>
        <n v="89.3"/>
        <n v="95.7"/>
        <n v="96.2"/>
        <n v="96.90000000000001"/>
        <n v="75.3"/>
        <n v="94.59999999999999"/>
        <n v="99.3"/>
        <n v="93.59999999999999"/>
        <n v="98.09999999999999"/>
        <n v="87.90000000000001"/>
        <n v="95.90000000000001"/>
        <n v="83.59999999999999"/>
        <n v="95.40000000000001"/>
        <n v="98.90000000000001"/>
        <n v="91.8"/>
        <n v="92.40000000000001"/>
        <n v="95.3"/>
        <n v="83.8"/>
        <n v="89.09999999999999"/>
        <n v="93.09999999999999"/>
        <n v="95.59999999999999"/>
        <n v="94.7"/>
        <n v="79.2"/>
        <n v="98.3"/>
        <n v="86.7"/>
        <n v="84.59999999999999"/>
        <n v="88.59999999999999"/>
        <n v="91.09999999999999"/>
        <n v="88.7"/>
        <n v="96.3"/>
        <n v="97.7"/>
        <n v="98"/>
        <n v="91.2"/>
        <n v="93.3"/>
        <n v="98.8"/>
        <n v="96"/>
        <n v="81.09999999999999"/>
        <n v="76.3"/>
        <n v="97.59999999999999"/>
        <n v="93.8"/>
        <n v="93.7"/>
        <n v="99"/>
        <n v="94"/>
        <n v="99.40000000000001"/>
        <n v="93"/>
        <n v="84.5"/>
        <n v="85.40000000000001"/>
        <n v="75"/>
        <n v="95.5"/>
        <n v="79.40000000000001"/>
        <n v="98.40000000000001"/>
        <n v="97.40000000000001"/>
        <n v="85.5"/>
        <n v="92"/>
        <n v="84.40000000000001"/>
        <n v="90.59999999999999"/>
        <n v="91.7"/>
        <n v="98.2"/>
        <n v="81.59999999999999"/>
        <n v="89.90000000000001"/>
        <n v="92.59999999999999"/>
        <n v="86.3"/>
        <n v="90"/>
        <n v="96.8"/>
        <n v="91.5"/>
        <n v="92.2"/>
        <n v="88.90000000000001"/>
        <n v="95.2"/>
      </sharedItems>
    </cacheField>
    <cacheField name="Assessment" uniqueList="1" numFmtId="0" sqlType="0" hierarchy="0" level="0" databaseField="1">
      <sharedItems count="0"/>
    </cacheField>
    <cacheField name="Assessment_Date" uniqueList="1" numFmtId="164" sqlType="0" hierarchy="0" level="0" databaseField="1">
      <sharedItems count="0" containsDate="1" containsMixedTypes="1" minDate="2026-01-15T00:00:00" maxDate="2026-04-15T00:00:00"/>
    </cacheField>
    <cacheField name="Assessment_Score" uniqueList="1" numFmtId="0" sqlType="0" hierarchy="0" level="0" databaseField="1">
      <sharedItems count="0" containsInteger="1" containsMixedTypes="1" containsNumber="1" minValue="43" maxValue="100"/>
    </cacheField>
    <cacheField name="Benchmark" uniqueList="1" numFmtId="0" sqlType="0" hierarchy="0" level="0" databaseField="1">
      <sharedItems count="0"/>
    </cacheField>
    <cacheField name="Discipline_Incidents" uniqueList="1" numFmtId="0" sqlType="0" hierarchy="0" level="0" databaseField="1">
      <sharedItems count="8" containsInteger="1" containsMixedTypes="1" containsNumber="1" minValue="0" maxValue="6">
        <n v="1"/>
        <n v="0"/>
        <n v="2"/>
        <s v="Not Available"/>
        <n v="3"/>
        <n v="4"/>
        <n v="5"/>
        <n v="6"/>
      </sharedItems>
    </cacheField>
    <cacheField name="Major_Incidents" uniqueList="1" numFmtId="0" sqlType="0" hierarchy="0" level="0" databaseField="1">
      <sharedItems count="4" containsInteger="1" containsMixedTypes="1" containsNumber="1" minValue="0" maxValue="2">
        <n v="0"/>
        <s v="Not Available"/>
        <n v="1"/>
        <n v="2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Tarini Akula Ramesh" refreshedDate="46257.86710358796" createdVersion="8" refreshedVersion="8" minRefreshableVersion="3" recordCount="118" r:id="rId1">
  <cacheSource type="worksheet">
    <worksheetSource ref="A1:L1048576" sheet="Student_Outcome_Analysis"/>
  </cacheSource>
  <cacheFields count="12">
    <cacheField name="Student_ID" uniqueList="1" numFmtId="0" sqlType="0" hierarchy="0" level="0" databaseField="1">
      <sharedItems count="0" containsBlank="1"/>
    </cacheField>
    <cacheField name="Full Name" uniqueList="1" numFmtId="0" sqlType="0" hierarchy="0" level="0" databaseField="1">
      <sharedItems count="0" containsBlank="1"/>
    </cacheField>
    <cacheField name="Grade" uniqueList="1" numFmtId="0" sqlType="0" hierarchy="0" level="0" databaseField="1">
      <sharedItems count="0" containsBlank="1" containsInteger="1" containsNumber="1" containsString="0" minValue="5" maxValue="8"/>
    </cacheField>
    <cacheField name="Program" uniqueList="1" numFmtId="0" sqlType="0" hierarchy="0" level="0" databaseField="1">
      <sharedItems count="0" containsBlank="1"/>
    </cacheField>
    <cacheField name="Enrollment_Status" uniqueList="1" numFmtId="0" sqlType="0" hierarchy="0" level="0" databaseField="1">
      <sharedItems count="0" containsBlank="1"/>
    </cacheField>
    <cacheField name="Attendance_Rate" uniqueList="1" numFmtId="0" sqlType="0" hierarchy="0" level="0" databaseField="1">
      <sharedItems count="83" containsBlank="1" containsMixedTypes="1" containsNumber="1" minValue="75" maxValue="100">
        <n v="87.09999999999999"/>
        <n v="94.90000000000001"/>
        <n v="97.2"/>
        <n v="100"/>
        <n v="88.40000000000001"/>
        <s v="Not Available"/>
        <n v="82.09999999999999"/>
        <n v="84.2"/>
        <n v="93.5"/>
        <n v="86.09999999999999"/>
        <n v="83.3"/>
        <n v="95.09999999999999"/>
        <n v="80.40000000000001"/>
        <n v="98.59999999999999"/>
        <n v="89.3"/>
        <n v="95.7"/>
        <n v="96.2"/>
        <n v="96.90000000000001"/>
        <n v="75.3"/>
        <n v="94.59999999999999"/>
        <n v="99.3"/>
        <n v="93.59999999999999"/>
        <n v="98.09999999999999"/>
        <n v="87.90000000000001"/>
        <n v="95.90000000000001"/>
        <n v="83.59999999999999"/>
        <n v="95.40000000000001"/>
        <n v="98.90000000000001"/>
        <n v="91.8"/>
        <n v="92.40000000000001"/>
        <n v="95.3"/>
        <n v="83.8"/>
        <n v="89.09999999999999"/>
        <n v="93.09999999999999"/>
        <n v="95.59999999999999"/>
        <n v="94.7"/>
        <n v="79.2"/>
        <n v="98.3"/>
        <n v="86.7"/>
        <n v="84.59999999999999"/>
        <n v="88.59999999999999"/>
        <n v="91.09999999999999"/>
        <n v="88.7"/>
        <n v="96.3"/>
        <n v="97.7"/>
        <n v="98"/>
        <n v="91.2"/>
        <n v="93.3"/>
        <n v="98.8"/>
        <n v="96"/>
        <n v="81.09999999999999"/>
        <n v="76.3"/>
        <n v="97.59999999999999"/>
        <n v="93.8"/>
        <n v="93.7"/>
        <n v="99"/>
        <n v="94"/>
        <n v="99.40000000000001"/>
        <n v="93"/>
        <n v="84.5"/>
        <n v="85.40000000000001"/>
        <n v="75"/>
        <n v="95.5"/>
        <n v="79.40000000000001"/>
        <n v="98.40000000000001"/>
        <n v="97.40000000000001"/>
        <n v="85.5"/>
        <n v="92"/>
        <n v="84.40000000000001"/>
        <n v="90.59999999999999"/>
        <n v="91.7"/>
        <n v="98.2"/>
        <n v="81.59999999999999"/>
        <n v="89.90000000000001"/>
        <n v="92.59999999999999"/>
        <n v="86.3"/>
        <n v="90"/>
        <n v="96.8"/>
        <n v="91.5"/>
        <n v="92.2"/>
        <n v="88.90000000000001"/>
        <n v="95.2"/>
        <m/>
      </sharedItems>
    </cacheField>
    <cacheField name="Assessment" uniqueList="1" numFmtId="0" sqlType="0" hierarchy="0" level="0" databaseField="1">
      <sharedItems count="0" containsBlank="1"/>
    </cacheField>
    <cacheField name="Assessment_Date" uniqueList="1" numFmtId="164" sqlType="0" hierarchy="0" level="0" databaseField="1">
      <sharedItems count="0" containsBlank="1" containsDate="1" containsMixedTypes="1" minDate="2026-01-15T00:00:00" maxDate="2026-04-15T00:00:00"/>
    </cacheField>
    <cacheField name="Assessment_Score" uniqueList="1" numFmtId="0" sqlType="0" hierarchy="0" level="0" databaseField="1">
      <sharedItems count="45" containsBlank="1" containsInteger="1" containsMixedTypes="1" containsNumber="1" minValue="43" maxValue="100">
        <n v="92"/>
        <n v="85"/>
        <n v="80"/>
        <n v="86"/>
        <n v="58"/>
        <s v="Not Available"/>
        <n v="70"/>
        <n v="89"/>
        <n v="90"/>
        <n v="87"/>
        <n v="72"/>
        <n v="79"/>
        <n v="76"/>
        <n v="60"/>
        <n v="100"/>
        <n v="43"/>
        <n v="64"/>
        <n v="98"/>
        <n v="77"/>
        <n v="74"/>
        <n v="68"/>
        <n v="65"/>
        <n v="75"/>
        <n v="93"/>
        <n v="54"/>
        <n v="78"/>
        <n v="73"/>
        <n v="94"/>
        <n v="83"/>
        <n v="55"/>
        <n v="61"/>
        <n v="96"/>
        <n v="88"/>
        <n v="69"/>
        <n v="99"/>
        <n v="84"/>
        <n v="91"/>
        <n v="67"/>
        <n v="66"/>
        <n v="51"/>
        <n v="82"/>
        <n v="97"/>
        <n v="63"/>
        <n v="48"/>
        <m/>
      </sharedItems>
    </cacheField>
    <cacheField name="Benchmark" uniqueList="1" numFmtId="0" sqlType="0" hierarchy="0" level="0" databaseField="1">
      <sharedItems count="0" containsBlank="1"/>
    </cacheField>
    <cacheField name="Discipline_Incidents" uniqueList="1" numFmtId="0" sqlType="0" hierarchy="0" level="0" databaseField="1">
      <sharedItems count="0" containsBlank="1" containsInteger="1" containsMixedTypes="1" containsNumber="1" minValue="0" maxValue="6"/>
    </cacheField>
    <cacheField name="Major_Incidents" uniqueList="1" numFmtId="0" sqlType="0" hierarchy="0" level="0" databaseField="1">
      <sharedItems count="0" containsBlank="1" containsInteger="1" containsMixedTypes="1" containsNumber="1" minValue="0" maxValue="2"/>
    </cacheField>
  </cacheFields>
</pivotCacheDefinition>
</file>

<file path=xl/pivotCache/pivotCacheRecords1.xml><?xml version="1.0" encoding="utf-8"?>
<pivotCacheRecords xmlns="http://schemas.openxmlformats.org/spreadsheetml/2006/main" count="117">
  <r>
    <s v="S1000"/>
    <s v="Olivia Wilson"/>
    <x v="0"/>
    <x v="0"/>
    <s v="Active"/>
    <x v="0"/>
    <s v="Science"/>
    <d v="2026-02-23T00:00:00"/>
    <n v="92"/>
    <s v="Met"/>
    <x v="0"/>
    <x v="0"/>
  </r>
  <r>
    <s v="S1001"/>
    <s v="Daniel Brown"/>
    <x v="1"/>
    <x v="1"/>
    <s v="Withdrawn"/>
    <x v="1"/>
    <s v="ELA"/>
    <d v="2026-01-29T00:00:00"/>
    <n v="85"/>
    <s v="Met"/>
    <x v="1"/>
    <x v="0"/>
  </r>
  <r>
    <s v="S1002"/>
    <s v="Charlotte Johnson"/>
    <x v="2"/>
    <x v="1"/>
    <s v="Active"/>
    <x v="2"/>
    <s v="Science"/>
    <d v="2026-02-04T00:00:00"/>
    <n v="80"/>
    <s v="Met"/>
    <x v="2"/>
    <x v="0"/>
  </r>
  <r>
    <s v="S1003"/>
    <s v="Isabella Johnson"/>
    <x v="0"/>
    <x v="2"/>
    <s v="Active"/>
    <x v="3"/>
    <s v="Math"/>
    <d v="2026-03-02T00:00:00"/>
    <n v="86"/>
    <s v="Met"/>
    <x v="1"/>
    <x v="0"/>
  </r>
  <r>
    <s v="S1006"/>
    <s v="Ella Wilson"/>
    <x v="3"/>
    <x v="1"/>
    <s v="Withdrawn"/>
    <x v="4"/>
    <s v="Science"/>
    <d v="2026-01-23T00:00:00"/>
    <n v="58"/>
    <s v="Below"/>
    <x v="1"/>
    <x v="0"/>
  </r>
  <r>
    <s v="S1007"/>
    <s v="Isabella Anderson"/>
    <x v="2"/>
    <x v="0"/>
    <s v="Active"/>
    <x v="2"/>
    <s v="Not Available"/>
    <s v="Not Available"/>
    <s v="Not Available"/>
    <s v="Not Available"/>
    <x v="0"/>
    <x v="0"/>
  </r>
  <r>
    <s v="S1008"/>
    <s v="Isabella Johnson"/>
    <x v="2"/>
    <x v="1"/>
    <s v="Active"/>
    <x v="5"/>
    <s v="Science"/>
    <d v="2026-03-07T00:00:00"/>
    <n v="70"/>
    <s v="Met"/>
    <x v="1"/>
    <x v="0"/>
  </r>
  <r>
    <s v="S1009"/>
    <s v="Noah Wilson"/>
    <x v="3"/>
    <x v="2"/>
    <s v="Active"/>
    <x v="6"/>
    <s v="Math"/>
    <d v="2026-03-12T00:00:00"/>
    <n v="89"/>
    <s v="Met"/>
    <x v="0"/>
    <x v="0"/>
  </r>
  <r>
    <s v="S1010"/>
    <s v="Lucas Anderson"/>
    <x v="3"/>
    <x v="2"/>
    <s v="Withdrawn"/>
    <x v="7"/>
    <s v="Math"/>
    <d v="2026-02-09T00:00:00"/>
    <n v="90"/>
    <s v="Met"/>
    <x v="0"/>
    <x v="0"/>
  </r>
  <r>
    <s v="S1012"/>
    <s v="Liam Patel"/>
    <x v="2"/>
    <x v="2"/>
    <s v="Active"/>
    <x v="8"/>
    <s v="Math"/>
    <d v="2026-02-18T00:00:00"/>
    <n v="87"/>
    <s v="Met"/>
    <x v="3"/>
    <x v="1"/>
  </r>
  <r>
    <s v="S1013"/>
    <s v="James Thomas"/>
    <x v="0"/>
    <x v="2"/>
    <s v="Active"/>
    <x v="9"/>
    <s v="Science"/>
    <d v="2026-03-18T00:00:00"/>
    <n v="72"/>
    <s v="Met"/>
    <x v="4"/>
    <x v="2"/>
  </r>
  <r>
    <s v="S1014"/>
    <s v="Ethan Smith"/>
    <x v="0"/>
    <x v="1"/>
    <s v="Active"/>
    <x v="10"/>
    <s v="Science"/>
    <d v="2026-02-08T00:00:00"/>
    <n v="72"/>
    <s v="Met"/>
    <x v="0"/>
    <x v="0"/>
  </r>
  <r>
    <s v="S1015"/>
    <s v="Liam Taylor"/>
    <x v="3"/>
    <x v="2"/>
    <s v="Active"/>
    <x v="11"/>
    <s v="ELA"/>
    <d v="2026-04-14T00:00:00"/>
    <n v="79"/>
    <s v="Met"/>
    <x v="1"/>
    <x v="0"/>
  </r>
  <r>
    <s v="S1016"/>
    <s v="Ava Miller"/>
    <x v="0"/>
    <x v="1"/>
    <s v="Active"/>
    <x v="12"/>
    <s v="ELA"/>
    <d v="2026-03-30T00:00:00"/>
    <n v="79"/>
    <s v="Met"/>
    <x v="0"/>
    <x v="0"/>
  </r>
  <r>
    <s v="S1017"/>
    <s v="James Lee"/>
    <x v="1"/>
    <x v="2"/>
    <s v="Active"/>
    <x v="13"/>
    <s v="Math"/>
    <d v="2026-02-21T00:00:00"/>
    <n v="76"/>
    <s v="Met"/>
    <x v="2"/>
    <x v="0"/>
  </r>
  <r>
    <s v="S1018"/>
    <s v="James Patel"/>
    <x v="0"/>
    <x v="1"/>
    <s v="Active"/>
    <x v="14"/>
    <s v="Science"/>
    <d v="2026-01-16T00:00:00"/>
    <n v="60"/>
    <s v="Below"/>
    <x v="5"/>
    <x v="2"/>
  </r>
  <r>
    <s v="S1019"/>
    <s v="Harper Thomas"/>
    <x v="0"/>
    <x v="2"/>
    <s v="Active"/>
    <x v="15"/>
    <s v="Not Available"/>
    <s v="Not Available"/>
    <s v="Not Available"/>
    <s v="Not Available"/>
    <x v="2"/>
    <x v="0"/>
  </r>
  <r>
    <s v="S1020"/>
    <s v="Mason Thomas"/>
    <x v="1"/>
    <x v="2"/>
    <s v="Active"/>
    <x v="16"/>
    <s v="Science"/>
    <d v="2026-04-06T00:00:00"/>
    <n v="100"/>
    <s v="Met"/>
    <x v="2"/>
    <x v="2"/>
  </r>
  <r>
    <s v="S1021"/>
    <s v="Leo Thomas"/>
    <x v="3"/>
    <x v="2"/>
    <s v="Active"/>
    <x v="17"/>
    <s v="ELA"/>
    <d v="2026-02-17T00:00:00"/>
    <n v="43"/>
    <s v="Below"/>
    <x v="0"/>
    <x v="0"/>
  </r>
  <r>
    <s v="S1022"/>
    <s v="Charlotte Thomas"/>
    <x v="1"/>
    <x v="1"/>
    <s v="Active"/>
    <x v="18"/>
    <s v="ELA"/>
    <d v="2026-01-31T00:00:00"/>
    <n v="86"/>
    <s v="Met"/>
    <x v="1"/>
    <x v="0"/>
  </r>
  <r>
    <s v="S1023"/>
    <s v="Charlotte Johnson"/>
    <x v="0"/>
    <x v="2"/>
    <s v="Active"/>
    <x v="19"/>
    <s v="Science"/>
    <d v="2026-02-26T00:00:00"/>
    <n v="89"/>
    <s v="Met"/>
    <x v="0"/>
    <x v="0"/>
  </r>
  <r>
    <s v="S1024"/>
    <s v="Ella Anderson"/>
    <x v="3"/>
    <x v="3"/>
    <s v="Active"/>
    <x v="20"/>
    <s v="Science"/>
    <d v="2026-03-14T00:00:00"/>
    <n v="60"/>
    <s v="Below"/>
    <x v="5"/>
    <x v="3"/>
  </r>
  <r>
    <s v="S1025"/>
    <s v="James Taylor"/>
    <x v="0"/>
    <x v="0"/>
    <s v="Active"/>
    <x v="10"/>
    <s v="Science"/>
    <d v="2026-03-06T00:00:00"/>
    <n v="70"/>
    <s v="Met"/>
    <x v="2"/>
    <x v="0"/>
  </r>
  <r>
    <s v="S1026"/>
    <s v="Daniel Wilson"/>
    <x v="1"/>
    <x v="2"/>
    <s v="Active"/>
    <x v="21"/>
    <s v="ELA"/>
    <d v="2026-03-09T00:00:00"/>
    <n v="64"/>
    <s v="Below"/>
    <x v="1"/>
    <x v="0"/>
  </r>
  <r>
    <s v="S1027"/>
    <s v="Mia Thomas"/>
    <x v="1"/>
    <x v="3"/>
    <s v="Active"/>
    <x v="22"/>
    <s v="Science"/>
    <d v="2026-02-07T00:00:00"/>
    <n v="98"/>
    <s v="Met"/>
    <x v="0"/>
    <x v="0"/>
  </r>
  <r>
    <s v="S1028"/>
    <s v="Emma Miller"/>
    <x v="0"/>
    <x v="2"/>
    <s v="Active"/>
    <x v="23"/>
    <s v="Science"/>
    <d v="2026-02-08T00:00:00"/>
    <n v="89"/>
    <s v="Met"/>
    <x v="4"/>
    <x v="0"/>
  </r>
  <r>
    <s v="S1029"/>
    <s v="Ella Wilson"/>
    <x v="2"/>
    <x v="2"/>
    <s v="Active"/>
    <x v="24"/>
    <s v="Math"/>
    <d v="2026-03-26T00:00:00"/>
    <n v="90"/>
    <s v="Met"/>
    <x v="0"/>
    <x v="0"/>
  </r>
  <r>
    <s v="S1030"/>
    <s v="Olivia Brown"/>
    <x v="2"/>
    <x v="1"/>
    <s v="Active"/>
    <x v="5"/>
    <s v="Math"/>
    <d v="2026-03-07T00:00:00"/>
    <n v="77"/>
    <s v="Met"/>
    <x v="4"/>
    <x v="2"/>
  </r>
  <r>
    <s v="S1031"/>
    <s v="Sophia Brown"/>
    <x v="1"/>
    <x v="1"/>
    <s v="Active"/>
    <x v="14"/>
    <s v="ELA"/>
    <d v="2026-03-25T00:00:00"/>
    <n v="92"/>
    <s v="Met"/>
    <x v="1"/>
    <x v="0"/>
  </r>
  <r>
    <s v="S1032"/>
    <s v="Olivia Miller"/>
    <x v="1"/>
    <x v="1"/>
    <s v="Active"/>
    <x v="25"/>
    <s v="Science"/>
    <d v="2026-04-12T00:00:00"/>
    <n v="76"/>
    <s v="Met"/>
    <x v="0"/>
    <x v="0"/>
  </r>
  <r>
    <s v="S1033"/>
    <s v="Jack Anderson"/>
    <x v="2"/>
    <x v="2"/>
    <s v="Active"/>
    <x v="26"/>
    <s v="Science"/>
    <d v="2026-02-16T00:00:00"/>
    <n v="92"/>
    <s v="Met"/>
    <x v="0"/>
    <x v="0"/>
  </r>
  <r>
    <s v="S1034"/>
    <s v="Noah Miller"/>
    <x v="2"/>
    <x v="2"/>
    <s v="Active"/>
    <x v="25"/>
    <s v="Math"/>
    <d v="2026-03-04T00:00:00"/>
    <n v="74"/>
    <s v="Met"/>
    <x v="2"/>
    <x v="0"/>
  </r>
  <r>
    <s v="S1035"/>
    <s v="Henry Johnson"/>
    <x v="0"/>
    <x v="1"/>
    <s v="Active"/>
    <x v="27"/>
    <s v="ELA"/>
    <d v="2026-02-12T00:00:00"/>
    <n v="68"/>
    <s v="Below"/>
    <x v="1"/>
    <x v="0"/>
  </r>
  <r>
    <s v="S1036"/>
    <s v="Jack Miller"/>
    <x v="0"/>
    <x v="0"/>
    <s v="Active"/>
    <x v="28"/>
    <s v="Math"/>
    <d v="2026-03-18T00:00:00"/>
    <n v="98"/>
    <s v="Met"/>
    <x v="1"/>
    <x v="0"/>
  </r>
  <r>
    <s v="S1037"/>
    <s v="Sophia Garcia"/>
    <x v="2"/>
    <x v="1"/>
    <s v="Active"/>
    <x v="29"/>
    <s v="Math"/>
    <d v="2026-02-05T00:00:00"/>
    <n v="76"/>
    <s v="Met"/>
    <x v="1"/>
    <x v="0"/>
  </r>
  <r>
    <s v="S1038"/>
    <s v="Liam Wilson"/>
    <x v="0"/>
    <x v="2"/>
    <s v="Active"/>
    <x v="30"/>
    <s v="Math"/>
    <d v="2026-02-09T00:00:00"/>
    <n v="65"/>
    <s v="Below"/>
    <x v="0"/>
    <x v="2"/>
  </r>
  <r>
    <s v="S1039"/>
    <s v="Daniel Patel"/>
    <x v="0"/>
    <x v="1"/>
    <s v="Active"/>
    <x v="31"/>
    <s v="Math"/>
    <d v="2026-02-11T00:00:00"/>
    <n v="65"/>
    <s v="Below"/>
    <x v="2"/>
    <x v="0"/>
  </r>
  <r>
    <s v="S1040"/>
    <s v="Charlotte Davis"/>
    <x v="3"/>
    <x v="1"/>
    <s v="Active"/>
    <x v="32"/>
    <s v="Science"/>
    <d v="2026-04-09T00:00:00"/>
    <n v="65"/>
    <s v="Below"/>
    <x v="2"/>
    <x v="0"/>
  </r>
  <r>
    <s v="S1041"/>
    <s v="Olivia Anderson"/>
    <x v="0"/>
    <x v="2"/>
    <s v="Active"/>
    <x v="33"/>
    <s v="Science"/>
    <d v="2026-03-04T00:00:00"/>
    <n v="86"/>
    <s v="Met"/>
    <x v="4"/>
    <x v="0"/>
  </r>
  <r>
    <s v="S1042"/>
    <s v="James Miller"/>
    <x v="1"/>
    <x v="2"/>
    <s v="Active"/>
    <x v="34"/>
    <s v="Math"/>
    <d v="2026-03-26T00:00:00"/>
    <n v="75"/>
    <s v="Met"/>
    <x v="4"/>
    <x v="0"/>
  </r>
  <r>
    <s v="S1043"/>
    <s v="Lucas Lee"/>
    <x v="0"/>
    <x v="2"/>
    <s v="Active"/>
    <x v="35"/>
    <s v="ELA"/>
    <d v="2026-04-05T00:00:00"/>
    <n v="100"/>
    <s v="Met"/>
    <x v="2"/>
    <x v="2"/>
  </r>
  <r>
    <s v="S1044"/>
    <s v="Charlotte Brown"/>
    <x v="0"/>
    <x v="2"/>
    <s v="Active"/>
    <x v="36"/>
    <s v="Not Available"/>
    <s v="Not Available"/>
    <s v="Not Available"/>
    <s v="Not Available"/>
    <x v="1"/>
    <x v="0"/>
  </r>
  <r>
    <s v="S1045"/>
    <s v="Mia Garcia"/>
    <x v="2"/>
    <x v="2"/>
    <s v="Active"/>
    <x v="37"/>
    <s v="ELA"/>
    <d v="2026-03-04T00:00:00"/>
    <n v="79"/>
    <s v="Met"/>
    <x v="1"/>
    <x v="0"/>
  </r>
  <r>
    <s v="S1046"/>
    <s v="Henry Taylor"/>
    <x v="1"/>
    <x v="2"/>
    <s v="Active"/>
    <x v="38"/>
    <s v="ELA"/>
    <d v="2026-02-03T00:00:00"/>
    <n v="93"/>
    <s v="Met"/>
    <x v="0"/>
    <x v="0"/>
  </r>
  <r>
    <s v="S1047"/>
    <s v="Harper Thomas"/>
    <x v="0"/>
    <x v="2"/>
    <s v="Active"/>
    <x v="39"/>
    <s v="Math"/>
    <d v="2026-04-10T00:00:00"/>
    <n v="70"/>
    <s v="Met"/>
    <x v="0"/>
    <x v="0"/>
  </r>
  <r>
    <s v="S1048"/>
    <s v="Noah Davis"/>
    <x v="0"/>
    <x v="2"/>
    <s v="Active"/>
    <x v="3"/>
    <s v="Science"/>
    <d v="2026-03-18T00:00:00"/>
    <n v="54"/>
    <s v="Below"/>
    <x v="0"/>
    <x v="0"/>
  </r>
  <r>
    <s v="S1049"/>
    <s v="Jack Anderson"/>
    <x v="3"/>
    <x v="3"/>
    <s v="Withdrawn"/>
    <x v="40"/>
    <s v="ELA"/>
    <d v="2026-03-16T00:00:00"/>
    <n v="64"/>
    <s v="Below"/>
    <x v="5"/>
    <x v="0"/>
  </r>
  <r>
    <s v="S1050"/>
    <s v="Lucas Patel"/>
    <x v="0"/>
    <x v="0"/>
    <s v="Active"/>
    <x v="41"/>
    <s v="Math"/>
    <d v="2026-03-04T00:00:00"/>
    <n v="78"/>
    <s v="Met"/>
    <x v="0"/>
    <x v="0"/>
  </r>
  <r>
    <s v="S1051"/>
    <s v="Noah Davis"/>
    <x v="0"/>
    <x v="2"/>
    <s v="Active"/>
    <x v="28"/>
    <s v="ELA"/>
    <d v="2026-03-26T00:00:00"/>
    <n v="73"/>
    <s v="Met"/>
    <x v="0"/>
    <x v="0"/>
  </r>
  <r>
    <s v="S1052"/>
    <s v="Liam Miller"/>
    <x v="3"/>
    <x v="3"/>
    <s v="Active"/>
    <x v="23"/>
    <s v="ELA"/>
    <d v="2026-01-15T00:00:00"/>
    <n v="86"/>
    <s v="Met"/>
    <x v="2"/>
    <x v="0"/>
  </r>
  <r>
    <s v="S1053"/>
    <s v="Ethan Johnson"/>
    <x v="2"/>
    <x v="1"/>
    <s v="Active"/>
    <x v="3"/>
    <s v="Math"/>
    <d v="2026-01-27T00:00:00"/>
    <n v="75"/>
    <s v="Met"/>
    <x v="1"/>
    <x v="0"/>
  </r>
  <r>
    <s v="S1054"/>
    <s v="Mason Brown"/>
    <x v="0"/>
    <x v="2"/>
    <s v="Active"/>
    <x v="42"/>
    <s v="Science"/>
    <d v="2026-04-11T00:00:00"/>
    <n v="85"/>
    <s v="Met"/>
    <x v="1"/>
    <x v="0"/>
  </r>
  <r>
    <s v="S1055"/>
    <s v="Noah Brown"/>
    <x v="3"/>
    <x v="2"/>
    <s v="Active"/>
    <x v="43"/>
    <s v="Science"/>
    <d v="2026-03-06T00:00:00"/>
    <n v="94"/>
    <s v="Met"/>
    <x v="0"/>
    <x v="0"/>
  </r>
  <r>
    <s v="S1056"/>
    <s v="Jack Taylor"/>
    <x v="1"/>
    <x v="2"/>
    <s v="Active"/>
    <x v="44"/>
    <s v="Math"/>
    <d v="2026-03-11T00:00:00"/>
    <n v="74"/>
    <s v="Met"/>
    <x v="1"/>
    <x v="0"/>
  </r>
  <r>
    <s v="S1057"/>
    <s v="James Johnson"/>
    <x v="2"/>
    <x v="2"/>
    <s v="Active"/>
    <x v="33"/>
    <s v="Science"/>
    <d v="2026-04-07T00:00:00"/>
    <n v="83"/>
    <s v="Met"/>
    <x v="0"/>
    <x v="0"/>
  </r>
  <r>
    <s v="S1058"/>
    <s v="Liam Thomas"/>
    <x v="1"/>
    <x v="1"/>
    <s v="Active"/>
    <x v="45"/>
    <s v="Math"/>
    <d v="2026-03-17T00:00:00"/>
    <n v="55"/>
    <s v="Below"/>
    <x v="0"/>
    <x v="0"/>
  </r>
  <r>
    <s v="S1059"/>
    <s v="Mason Wilson"/>
    <x v="1"/>
    <x v="1"/>
    <s v="Withdrawn"/>
    <x v="46"/>
    <s v="Math"/>
    <d v="2026-02-15T00:00:00"/>
    <n v="75"/>
    <s v="Met"/>
    <x v="1"/>
    <x v="0"/>
  </r>
  <r>
    <s v="S1060"/>
    <s v="Noah Smith"/>
    <x v="3"/>
    <x v="2"/>
    <s v="Active"/>
    <x v="47"/>
    <s v="Math"/>
    <d v="2026-02-13T00:00:00"/>
    <n v="61"/>
    <s v="Below"/>
    <x v="1"/>
    <x v="0"/>
  </r>
  <r>
    <s v="S1061"/>
    <s v="Henry Garcia"/>
    <x v="0"/>
    <x v="3"/>
    <s v="Active"/>
    <x v="48"/>
    <s v="Science"/>
    <d v="2026-02-12T00:00:00"/>
    <n v="78"/>
    <s v="Met"/>
    <x v="2"/>
    <x v="0"/>
  </r>
  <r>
    <s v="S1062"/>
    <s v="Leo Brown"/>
    <x v="3"/>
    <x v="0"/>
    <s v="Active"/>
    <x v="3"/>
    <s v="Math"/>
    <d v="2026-03-04T00:00:00"/>
    <n v="79"/>
    <s v="Met"/>
    <x v="1"/>
    <x v="0"/>
  </r>
  <r>
    <s v="S1063"/>
    <s v="Charlotte Lee"/>
    <x v="3"/>
    <x v="2"/>
    <s v="Active"/>
    <x v="49"/>
    <s v="ELA"/>
    <d v="2026-02-28T00:00:00"/>
    <n v="79"/>
    <s v="Met"/>
    <x v="2"/>
    <x v="2"/>
  </r>
  <r>
    <s v="S1064"/>
    <s v="Lucas Brown"/>
    <x v="3"/>
    <x v="3"/>
    <s v="Active"/>
    <x v="50"/>
    <s v="Science"/>
    <d v="2026-02-13T00:00:00"/>
    <n v="70"/>
    <s v="Met"/>
    <x v="2"/>
    <x v="0"/>
  </r>
  <r>
    <s v="S1065"/>
    <s v="Henry Davis"/>
    <x v="3"/>
    <x v="3"/>
    <s v="Active"/>
    <x v="51"/>
    <s v="Science"/>
    <d v="2026-01-30T00:00:00"/>
    <n v="100"/>
    <s v="Met"/>
    <x v="2"/>
    <x v="0"/>
  </r>
  <r>
    <s v="S1066"/>
    <s v="Lucas Brown"/>
    <x v="2"/>
    <x v="3"/>
    <s v="Active"/>
    <x v="21"/>
    <s v="Science"/>
    <d v="2026-02-23T00:00:00"/>
    <n v="61"/>
    <s v="Below"/>
    <x v="1"/>
    <x v="0"/>
  </r>
  <r>
    <s v="S1067"/>
    <s v="Leo Anderson"/>
    <x v="0"/>
    <x v="2"/>
    <s v="Withdrawn"/>
    <x v="52"/>
    <s v="Science"/>
    <d v="2026-02-02T00:00:00"/>
    <n v="60"/>
    <s v="Below"/>
    <x v="1"/>
    <x v="0"/>
  </r>
  <r>
    <s v="S1068"/>
    <s v="Amelia Brown"/>
    <x v="1"/>
    <x v="1"/>
    <s v="Active"/>
    <x v="31"/>
    <s v="ELA"/>
    <d v="2026-02-01T00:00:00"/>
    <n v="96"/>
    <s v="Met"/>
    <x v="4"/>
    <x v="0"/>
  </r>
  <r>
    <s v="S1069"/>
    <s v="Jack Smith"/>
    <x v="1"/>
    <x v="2"/>
    <s v="Active"/>
    <x v="53"/>
    <s v="Science"/>
    <d v="2026-01-15T00:00:00"/>
    <n v="68"/>
    <s v="Below"/>
    <x v="2"/>
    <x v="0"/>
  </r>
  <r>
    <s v="S1070"/>
    <s v="Charlotte Smith"/>
    <x v="0"/>
    <x v="1"/>
    <s v="Active"/>
    <x v="54"/>
    <s v="Science"/>
    <d v="2026-04-02T00:00:00"/>
    <n v="65"/>
    <s v="Below"/>
    <x v="1"/>
    <x v="0"/>
  </r>
  <r>
    <s v="S1071"/>
    <s v="Amelia Thomas"/>
    <x v="1"/>
    <x v="3"/>
    <s v="Active"/>
    <x v="55"/>
    <s v="Math"/>
    <d v="2026-03-02T00:00:00"/>
    <n v="100"/>
    <s v="Met"/>
    <x v="2"/>
    <x v="0"/>
  </r>
  <r>
    <s v="S1072"/>
    <s v="Sophia Patel"/>
    <x v="0"/>
    <x v="1"/>
    <s v="Active"/>
    <x v="47"/>
    <s v="Science"/>
    <d v="2026-03-21T00:00:00"/>
    <n v="88"/>
    <s v="Met"/>
    <x v="1"/>
    <x v="0"/>
  </r>
  <r>
    <s v="S1073"/>
    <s v="Charlotte Wilson"/>
    <x v="1"/>
    <x v="0"/>
    <s v="Active"/>
    <x v="56"/>
    <s v="ELA"/>
    <d v="2026-02-21T00:00:00"/>
    <n v="69"/>
    <s v="Below"/>
    <x v="1"/>
    <x v="0"/>
  </r>
  <r>
    <s v="S1074"/>
    <s v="Amelia Lee"/>
    <x v="3"/>
    <x v="0"/>
    <s v="Active"/>
    <x v="57"/>
    <s v="ELA"/>
    <d v="2026-03-06T00:00:00"/>
    <n v="79"/>
    <s v="Met"/>
    <x v="1"/>
    <x v="0"/>
  </r>
  <r>
    <s v="S1075"/>
    <s v="Ava Brown"/>
    <x v="1"/>
    <x v="0"/>
    <s v="Active"/>
    <x v="40"/>
    <s v="ELA"/>
    <d v="2026-03-18T00:00:00"/>
    <n v="99"/>
    <s v="Met"/>
    <x v="2"/>
    <x v="0"/>
  </r>
  <r>
    <s v="S1076"/>
    <s v="Olivia Brown"/>
    <x v="0"/>
    <x v="2"/>
    <s v="Active"/>
    <x v="3"/>
    <s v="ELA"/>
    <d v="2026-01-18T00:00:00"/>
    <n v="84"/>
    <s v="Met"/>
    <x v="4"/>
    <x v="0"/>
  </r>
  <r>
    <s v="S1077"/>
    <s v="Sophia Garcia"/>
    <x v="0"/>
    <x v="2"/>
    <s v="Active"/>
    <x v="34"/>
    <s v="Science"/>
    <d v="2026-01-15T00:00:00"/>
    <n v="91"/>
    <s v="Met"/>
    <x v="2"/>
    <x v="0"/>
  </r>
  <r>
    <s v="S1078"/>
    <s v="Ava Smith"/>
    <x v="0"/>
    <x v="2"/>
    <s v="Active"/>
    <x v="58"/>
    <s v="Science"/>
    <d v="2026-01-22T00:00:00"/>
    <n v="86"/>
    <s v="Met"/>
    <x v="1"/>
    <x v="0"/>
  </r>
  <r>
    <s v="S1079"/>
    <s v="James Lee"/>
    <x v="0"/>
    <x v="0"/>
    <s v="Active"/>
    <x v="59"/>
    <s v="ELA"/>
    <d v="2026-02-12T00:00:00"/>
    <n v="87"/>
    <s v="Met"/>
    <x v="2"/>
    <x v="0"/>
  </r>
  <r>
    <s v="S1080"/>
    <s v="Lucas Thomas"/>
    <x v="0"/>
    <x v="2"/>
    <s v="Active"/>
    <x v="19"/>
    <s v="ELA"/>
    <d v="2026-03-10T00:00:00"/>
    <n v="76"/>
    <s v="Met"/>
    <x v="6"/>
    <x v="2"/>
  </r>
  <r>
    <s v="S1081"/>
    <s v="Isabella Taylor"/>
    <x v="2"/>
    <x v="2"/>
    <s v="Active"/>
    <x v="33"/>
    <s v="Science"/>
    <d v="2026-01-17T00:00:00"/>
    <n v="76"/>
    <s v="Met"/>
    <x v="0"/>
    <x v="0"/>
  </r>
  <r>
    <s v="S1082"/>
    <s v="Ella Patel"/>
    <x v="2"/>
    <x v="2"/>
    <s v="Active"/>
    <x v="60"/>
    <s v="ELA"/>
    <d v="2026-02-15T00:00:00"/>
    <n v="79"/>
    <s v="Met"/>
    <x v="2"/>
    <x v="0"/>
  </r>
  <r>
    <s v="S1083"/>
    <s v="Harper Wilson"/>
    <x v="1"/>
    <x v="1"/>
    <s v="Active"/>
    <x v="61"/>
    <s v="Math"/>
    <d v="2026-01-24T00:00:00"/>
    <n v="85"/>
    <s v="Met"/>
    <x v="4"/>
    <x v="0"/>
  </r>
  <r>
    <s v="S1084"/>
    <s v="Lucas Johnson"/>
    <x v="0"/>
    <x v="0"/>
    <s v="Active"/>
    <x v="62"/>
    <s v="ELA"/>
    <d v="2026-03-29T00:00:00"/>
    <n v="73"/>
    <s v="Met"/>
    <x v="0"/>
    <x v="0"/>
  </r>
  <r>
    <s v="S1085"/>
    <s v="Mia Wilson"/>
    <x v="1"/>
    <x v="0"/>
    <s v="Active"/>
    <x v="63"/>
    <s v="ELA"/>
    <d v="2026-04-07T00:00:00"/>
    <n v="77"/>
    <s v="Met"/>
    <x v="1"/>
    <x v="0"/>
  </r>
  <r>
    <s v="S1086"/>
    <s v="Mia Anderson"/>
    <x v="0"/>
    <x v="2"/>
    <s v="Active"/>
    <x v="64"/>
    <s v="Math"/>
    <d v="2026-02-17T00:00:00"/>
    <n v="72"/>
    <s v="Met"/>
    <x v="1"/>
    <x v="0"/>
  </r>
  <r>
    <s v="S1087"/>
    <s v="Ava Davis"/>
    <x v="0"/>
    <x v="0"/>
    <s v="Active"/>
    <x v="39"/>
    <s v="Math"/>
    <d v="2026-04-11T00:00:00"/>
    <n v="77"/>
    <s v="Met"/>
    <x v="1"/>
    <x v="0"/>
  </r>
  <r>
    <s v="S1088"/>
    <s v="Emma Anderson"/>
    <x v="2"/>
    <x v="1"/>
    <s v="Active"/>
    <x v="65"/>
    <s v="Science"/>
    <d v="2026-03-10T00:00:00"/>
    <n v="61"/>
    <s v="Below"/>
    <x v="0"/>
    <x v="2"/>
  </r>
  <r>
    <s v="S1089"/>
    <s v="Mason Brown"/>
    <x v="2"/>
    <x v="2"/>
    <s v="Active"/>
    <x v="53"/>
    <s v="Science"/>
    <d v="2026-02-15T00:00:00"/>
    <n v="100"/>
    <s v="Met"/>
    <x v="1"/>
    <x v="0"/>
  </r>
  <r>
    <s v="S1090"/>
    <s v="Olivia Patel"/>
    <x v="3"/>
    <x v="1"/>
    <s v="Active"/>
    <x v="66"/>
    <s v="Math"/>
    <d v="2026-03-05T00:00:00"/>
    <n v="67"/>
    <s v="Below"/>
    <x v="0"/>
    <x v="0"/>
  </r>
  <r>
    <s v="S1091"/>
    <s v="Sophia Davis"/>
    <x v="2"/>
    <x v="2"/>
    <s v="Active"/>
    <x v="67"/>
    <s v="Math"/>
    <d v="2026-01-21T00:00:00"/>
    <n v="72"/>
    <s v="Met"/>
    <x v="2"/>
    <x v="0"/>
  </r>
  <r>
    <s v="S1092"/>
    <s v="Olivia Lee"/>
    <x v="3"/>
    <x v="2"/>
    <s v="Active"/>
    <x v="68"/>
    <s v="Science"/>
    <d v="2026-01-22T00:00:00"/>
    <n v="66"/>
    <s v="Below"/>
    <x v="0"/>
    <x v="2"/>
  </r>
  <r>
    <s v="S1093"/>
    <s v="Sophia Johnson"/>
    <x v="3"/>
    <x v="1"/>
    <s v="Active"/>
    <x v="7"/>
    <s v="ELA"/>
    <d v="2026-03-20T00:00:00"/>
    <n v="83"/>
    <s v="Met"/>
    <x v="2"/>
    <x v="0"/>
  </r>
  <r>
    <s v="S1094"/>
    <s v="Lucas Smith"/>
    <x v="3"/>
    <x v="2"/>
    <s v="Active"/>
    <x v="69"/>
    <s v="Math"/>
    <d v="2026-03-12T00:00:00"/>
    <n v="74"/>
    <s v="Met"/>
    <x v="0"/>
    <x v="0"/>
  </r>
  <r>
    <s v="S1095"/>
    <s v="James Patel"/>
    <x v="3"/>
    <x v="2"/>
    <s v="Active"/>
    <x v="26"/>
    <s v="Science"/>
    <d v="2026-03-22T00:00:00"/>
    <n v="64"/>
    <s v="Below"/>
    <x v="1"/>
    <x v="0"/>
  </r>
  <r>
    <s v="S1096"/>
    <s v="Liam Patel"/>
    <x v="3"/>
    <x v="2"/>
    <s v="Active"/>
    <x v="57"/>
    <s v="ELA"/>
    <d v="2026-04-12T00:00:00"/>
    <n v="84"/>
    <s v="Met"/>
    <x v="0"/>
    <x v="0"/>
  </r>
  <r>
    <s v="S1097"/>
    <s v="Ava Anderson"/>
    <x v="1"/>
    <x v="2"/>
    <s v="Active"/>
    <x v="70"/>
    <s v="Math"/>
    <d v="2026-04-11T00:00:00"/>
    <n v="85"/>
    <s v="Met"/>
    <x v="0"/>
    <x v="0"/>
  </r>
  <r>
    <s v="S1098"/>
    <s v="Leo Brown"/>
    <x v="2"/>
    <x v="2"/>
    <s v="Withdrawn"/>
    <x v="71"/>
    <s v="ELA"/>
    <d v="2026-03-14T00:00:00"/>
    <n v="75"/>
    <s v="Met"/>
    <x v="0"/>
    <x v="0"/>
  </r>
  <r>
    <s v="S1099"/>
    <s v="Emma Miller"/>
    <x v="3"/>
    <x v="1"/>
    <s v="Active"/>
    <x v="22"/>
    <s v="Science"/>
    <d v="2026-03-27T00:00:00"/>
    <n v="68"/>
    <s v="Below"/>
    <x v="2"/>
    <x v="0"/>
  </r>
  <r>
    <s v="S1100"/>
    <s v="Mia Thomas"/>
    <x v="0"/>
    <x v="1"/>
    <s v="Active"/>
    <x v="3"/>
    <s v="Math"/>
    <d v="2026-03-09T00:00:00"/>
    <n v="100"/>
    <s v="Met"/>
    <x v="7"/>
    <x v="0"/>
  </r>
  <r>
    <s v="S1101"/>
    <s v="James Anderson"/>
    <x v="2"/>
    <x v="0"/>
    <s v="Active"/>
    <x v="49"/>
    <s v="ELA"/>
    <d v="2026-03-22T00:00:00"/>
    <n v="80"/>
    <s v="Met"/>
    <x v="0"/>
    <x v="0"/>
  </r>
  <r>
    <s v="S1102"/>
    <s v="Lucas Patel"/>
    <x v="2"/>
    <x v="0"/>
    <s v="Active"/>
    <x v="72"/>
    <s v="Math"/>
    <d v="2026-03-06T00:00:00"/>
    <n v="61"/>
    <s v="Below"/>
    <x v="1"/>
    <x v="0"/>
  </r>
  <r>
    <s v="S1103"/>
    <s v="Mia Garcia"/>
    <x v="3"/>
    <x v="1"/>
    <s v="Active"/>
    <x v="62"/>
    <s v="ELA"/>
    <d v="2026-01-22T00:00:00"/>
    <n v="93"/>
    <s v="Met"/>
    <x v="0"/>
    <x v="0"/>
  </r>
  <r>
    <s v="S1104"/>
    <s v="Ava Johnson"/>
    <x v="1"/>
    <x v="1"/>
    <s v="Active"/>
    <x v="73"/>
    <s v="Science"/>
    <d v="2026-02-17T00:00:00"/>
    <n v="66"/>
    <s v="Below"/>
    <x v="0"/>
    <x v="0"/>
  </r>
  <r>
    <s v="S1105"/>
    <s v="Mia Thomas"/>
    <x v="3"/>
    <x v="2"/>
    <s v="Active"/>
    <x v="1"/>
    <s v="Science"/>
    <d v="2026-02-18T00:00:00"/>
    <n v="100"/>
    <s v="Met"/>
    <x v="0"/>
    <x v="0"/>
  </r>
  <r>
    <s v="S1106"/>
    <s v="Emma Anderson"/>
    <x v="1"/>
    <x v="2"/>
    <s v="Active"/>
    <x v="43"/>
    <s v="Math"/>
    <d v="2026-04-12T00:00:00"/>
    <n v="77"/>
    <s v="Met"/>
    <x v="0"/>
    <x v="0"/>
  </r>
  <r>
    <s v="S1107"/>
    <s v="Charlotte Johnson"/>
    <x v="0"/>
    <x v="2"/>
    <s v="Active"/>
    <x v="74"/>
    <s v="ELA"/>
    <d v="2026-04-02T00:00:00"/>
    <n v="88"/>
    <s v="Met"/>
    <x v="2"/>
    <x v="0"/>
  </r>
  <r>
    <s v="S1108"/>
    <s v="Henry Garcia"/>
    <x v="2"/>
    <x v="2"/>
    <s v="Active"/>
    <x v="64"/>
    <s v="Math"/>
    <d v="2026-02-15T00:00:00"/>
    <n v="51"/>
    <s v="Below"/>
    <x v="0"/>
    <x v="2"/>
  </r>
  <r>
    <s v="S1109"/>
    <s v="Mia Taylor"/>
    <x v="0"/>
    <x v="2"/>
    <s v="Active"/>
    <x v="63"/>
    <s v="Math"/>
    <d v="2026-03-01T00:00:00"/>
    <n v="61"/>
    <s v="Below"/>
    <x v="2"/>
    <x v="0"/>
  </r>
  <r>
    <s v="S1110"/>
    <s v="Ava Garcia"/>
    <x v="1"/>
    <x v="2"/>
    <s v="Active"/>
    <x v="17"/>
    <s v="ELA"/>
    <d v="2026-01-30T00:00:00"/>
    <n v="92"/>
    <s v="Met"/>
    <x v="2"/>
    <x v="0"/>
  </r>
  <r>
    <s v="S1111"/>
    <s v="Emma Garcia"/>
    <x v="1"/>
    <x v="0"/>
    <s v="Active"/>
    <x v="44"/>
    <s v="ELA"/>
    <d v="2026-03-23T00:00:00"/>
    <n v="80"/>
    <s v="Met"/>
    <x v="2"/>
    <x v="0"/>
  </r>
  <r>
    <s v="S1112"/>
    <s v="Henry Johnson"/>
    <x v="0"/>
    <x v="3"/>
    <s v="Active"/>
    <x v="75"/>
    <s v="ELA"/>
    <d v="2026-02-20T00:00:00"/>
    <n v="100"/>
    <s v="Met"/>
    <x v="4"/>
    <x v="0"/>
  </r>
  <r>
    <s v="S1113"/>
    <s v="Olivia Wilson"/>
    <x v="1"/>
    <x v="1"/>
    <s v="Active"/>
    <x v="76"/>
    <s v="Science"/>
    <d v="2026-03-09T00:00:00"/>
    <n v="82"/>
    <s v="Met"/>
    <x v="1"/>
    <x v="0"/>
  </r>
  <r>
    <s v="S1114"/>
    <s v="Sophia Johnson"/>
    <x v="0"/>
    <x v="2"/>
    <s v="Active"/>
    <x v="77"/>
    <s v="Math"/>
    <d v="2026-04-09T00:00:00"/>
    <n v="78"/>
    <s v="Met"/>
    <x v="5"/>
    <x v="0"/>
  </r>
  <r>
    <s v="S1115"/>
    <s v="Charlotte Miller"/>
    <x v="2"/>
    <x v="2"/>
    <s v="Active"/>
    <x v="78"/>
    <s v="Math"/>
    <d v="2026-01-28T00:00:00"/>
    <n v="97"/>
    <s v="Met"/>
    <x v="2"/>
    <x v="0"/>
  </r>
  <r>
    <s v="S1116"/>
    <s v="Charlotte Brown"/>
    <x v="0"/>
    <x v="0"/>
    <s v="Active"/>
    <x v="79"/>
    <s v="Science"/>
    <d v="2026-03-10T00:00:00"/>
    <n v="88"/>
    <s v="Met"/>
    <x v="2"/>
    <x v="0"/>
  </r>
  <r>
    <s v="S1117"/>
    <s v="Mason Davis"/>
    <x v="2"/>
    <x v="0"/>
    <s v="Active"/>
    <x v="80"/>
    <s v="ELA"/>
    <d v="2026-03-03T00:00:00"/>
    <n v="74"/>
    <s v="Met"/>
    <x v="1"/>
    <x v="0"/>
  </r>
  <r>
    <s v="S1118"/>
    <s v="Amelia Wilson"/>
    <x v="0"/>
    <x v="2"/>
    <s v="Active"/>
    <x v="30"/>
    <s v="Science"/>
    <d v="2026-04-06T00:00:00"/>
    <n v="63"/>
    <s v="Below"/>
    <x v="1"/>
    <x v="0"/>
  </r>
  <r>
    <s v="S1119"/>
    <s v="Ella Smith"/>
    <x v="1"/>
    <x v="1"/>
    <s v="Active"/>
    <x v="81"/>
    <s v="Science"/>
    <d v="2026-01-21T00:00:00"/>
    <n v="48"/>
    <s v="Below"/>
    <x v="2"/>
    <x v="0"/>
  </r>
</pivotCacheRecords>
</file>

<file path=xl/pivotCache/pivotCacheRecords2.xml><?xml version="1.0" encoding="utf-8"?>
<pivotCacheRecords xmlns="http://schemas.openxmlformats.org/spreadsheetml/2006/main" count="118">
  <r>
    <s v="S1000"/>
    <s v="Olivia Wilson"/>
    <n v="8"/>
    <s v="MTSS Tier 2"/>
    <s v="Active"/>
    <x v="0"/>
    <s v="Science"/>
    <d v="2026-02-23T00:00:00"/>
    <x v="0"/>
    <s v="Met"/>
    <n v="1"/>
    <n v="0"/>
  </r>
  <r>
    <s v="S1001"/>
    <s v="Daniel Brown"/>
    <n v="5"/>
    <s v="MTSS Tier 1"/>
    <s v="Withdrawn"/>
    <x v="1"/>
    <s v="ELA"/>
    <d v="2026-01-29T00:00:00"/>
    <x v="1"/>
    <s v="Met"/>
    <n v="0"/>
    <n v="0"/>
  </r>
  <r>
    <s v="S1002"/>
    <s v="Charlotte Johnson"/>
    <n v="7"/>
    <s v="MTSS Tier 1"/>
    <s v="Active"/>
    <x v="2"/>
    <s v="Science"/>
    <d v="2026-02-04T00:00:00"/>
    <x v="2"/>
    <s v="Met"/>
    <n v="2"/>
    <n v="0"/>
  </r>
  <r>
    <s v="S1003"/>
    <s v="Isabella Johnson"/>
    <n v="8"/>
    <s v="Core"/>
    <s v="Active"/>
    <x v="3"/>
    <s v="Math"/>
    <d v="2026-03-02T00:00:00"/>
    <x v="3"/>
    <s v="Met"/>
    <n v="0"/>
    <n v="0"/>
  </r>
  <r>
    <s v="S1006"/>
    <s v="Ella Wilson"/>
    <n v="6"/>
    <s v="MTSS Tier 1"/>
    <s v="Withdrawn"/>
    <x v="4"/>
    <s v="Science"/>
    <d v="2026-01-23T00:00:00"/>
    <x v="4"/>
    <s v="Below"/>
    <n v="0"/>
    <n v="0"/>
  </r>
  <r>
    <s v="S1007"/>
    <s v="Isabella Anderson"/>
    <n v="7"/>
    <s v="MTSS Tier 2"/>
    <s v="Active"/>
    <x v="2"/>
    <s v="Not Available"/>
    <s v="Not Available"/>
    <x v="5"/>
    <s v="Not Available"/>
    <n v="1"/>
    <n v="0"/>
  </r>
  <r>
    <s v="S1008"/>
    <s v="Isabella Johnson"/>
    <n v="7"/>
    <s v="MTSS Tier 1"/>
    <s v="Active"/>
    <x v="5"/>
    <s v="Science"/>
    <d v="2026-03-07T00:00:00"/>
    <x v="6"/>
    <s v="Met"/>
    <n v="0"/>
    <n v="0"/>
  </r>
  <r>
    <s v="S1009"/>
    <s v="Noah Wilson"/>
    <n v="6"/>
    <s v="Core"/>
    <s v="Active"/>
    <x v="6"/>
    <s v="Math"/>
    <d v="2026-03-12T00:00:00"/>
    <x v="7"/>
    <s v="Met"/>
    <n v="1"/>
    <n v="0"/>
  </r>
  <r>
    <s v="S1010"/>
    <s v="Lucas Anderson"/>
    <n v="6"/>
    <s v="Core"/>
    <s v="Withdrawn"/>
    <x v="7"/>
    <s v="Math"/>
    <d v="2026-02-09T00:00:00"/>
    <x v="8"/>
    <s v="Met"/>
    <n v="1"/>
    <n v="0"/>
  </r>
  <r>
    <s v="S1012"/>
    <s v="Liam Patel"/>
    <n v="7"/>
    <s v="Core"/>
    <s v="Active"/>
    <x v="8"/>
    <s v="Math"/>
    <d v="2026-02-18T00:00:00"/>
    <x v="9"/>
    <s v="Met"/>
    <s v="Not Available"/>
    <s v="Not Available"/>
  </r>
  <r>
    <s v="S1013"/>
    <s v="James Thomas"/>
    <n v="8"/>
    <s v="Core"/>
    <s v="Active"/>
    <x v="9"/>
    <s v="Science"/>
    <d v="2026-03-18T00:00:00"/>
    <x v="10"/>
    <s v="Met"/>
    <n v="3"/>
    <n v="1"/>
  </r>
  <r>
    <s v="S1014"/>
    <s v="Ethan Smith"/>
    <n v="8"/>
    <s v="MTSS Tier 1"/>
    <s v="Active"/>
    <x v="10"/>
    <s v="Science"/>
    <d v="2026-02-08T00:00:00"/>
    <x v="10"/>
    <s v="Met"/>
    <n v="1"/>
    <n v="0"/>
  </r>
  <r>
    <s v="S1015"/>
    <s v="Liam Taylor"/>
    <n v="6"/>
    <s v="Core"/>
    <s v="Active"/>
    <x v="11"/>
    <s v="ELA"/>
    <d v="2026-04-14T00:00:00"/>
    <x v="11"/>
    <s v="Met"/>
    <n v="0"/>
    <n v="0"/>
  </r>
  <r>
    <s v="S1016"/>
    <s v="Ava Miller"/>
    <n v="8"/>
    <s v="MTSS Tier 1"/>
    <s v="Active"/>
    <x v="12"/>
    <s v="ELA"/>
    <d v="2026-03-30T00:00:00"/>
    <x v="11"/>
    <s v="Met"/>
    <n v="1"/>
    <n v="0"/>
  </r>
  <r>
    <s v="S1017"/>
    <s v="James Lee"/>
    <n v="5"/>
    <s v="Core"/>
    <s v="Active"/>
    <x v="13"/>
    <s v="Math"/>
    <d v="2026-02-21T00:00:00"/>
    <x v="12"/>
    <s v="Met"/>
    <n v="2"/>
    <n v="0"/>
  </r>
  <r>
    <s v="S1018"/>
    <s v="James Patel"/>
    <n v="8"/>
    <s v="MTSS Tier 1"/>
    <s v="Active"/>
    <x v="14"/>
    <s v="Science"/>
    <d v="2026-01-16T00:00:00"/>
    <x v="13"/>
    <s v="Below"/>
    <n v="4"/>
    <n v="1"/>
  </r>
  <r>
    <s v="S1019"/>
    <s v="Harper Thomas"/>
    <n v="8"/>
    <s v="Core"/>
    <s v="Active"/>
    <x v="15"/>
    <s v="Not Available"/>
    <s v="Not Available"/>
    <x v="5"/>
    <s v="Not Available"/>
    <n v="2"/>
    <n v="0"/>
  </r>
  <r>
    <s v="S1020"/>
    <s v="Mason Thomas"/>
    <n v="5"/>
    <s v="Core"/>
    <s v="Active"/>
    <x v="16"/>
    <s v="Science"/>
    <d v="2026-04-06T00:00:00"/>
    <x v="14"/>
    <s v="Met"/>
    <n v="2"/>
    <n v="1"/>
  </r>
  <r>
    <s v="S1021"/>
    <s v="Leo Thomas"/>
    <n v="6"/>
    <s v="Core"/>
    <s v="Active"/>
    <x v="17"/>
    <s v="ELA"/>
    <d v="2026-02-17T00:00:00"/>
    <x v="15"/>
    <s v="Below"/>
    <n v="1"/>
    <n v="0"/>
  </r>
  <r>
    <s v="S1022"/>
    <s v="Charlotte Thomas"/>
    <n v="5"/>
    <s v="MTSS Tier 1"/>
    <s v="Active"/>
    <x v="18"/>
    <s v="ELA"/>
    <d v="2026-01-31T00:00:00"/>
    <x v="3"/>
    <s v="Met"/>
    <n v="0"/>
    <n v="0"/>
  </r>
  <r>
    <s v="S1023"/>
    <s v="Charlotte Johnson"/>
    <n v="8"/>
    <s v="Core"/>
    <s v="Active"/>
    <x v="19"/>
    <s v="Science"/>
    <d v="2026-02-26T00:00:00"/>
    <x v="7"/>
    <s v="Met"/>
    <n v="1"/>
    <n v="0"/>
  </r>
  <r>
    <s v="S1024"/>
    <s v="Ella Anderson"/>
    <n v="6"/>
    <s v="MTSS Tier 3"/>
    <s v="Active"/>
    <x v="20"/>
    <s v="Science"/>
    <d v="2026-03-14T00:00:00"/>
    <x v="13"/>
    <s v="Below"/>
    <n v="4"/>
    <n v="2"/>
  </r>
  <r>
    <s v="S1025"/>
    <s v="James Taylor"/>
    <n v="8"/>
    <s v="MTSS Tier 2"/>
    <s v="Active"/>
    <x v="10"/>
    <s v="Science"/>
    <d v="2026-03-06T00:00:00"/>
    <x v="6"/>
    <s v="Met"/>
    <n v="2"/>
    <n v="0"/>
  </r>
  <r>
    <s v="S1026"/>
    <s v="Daniel Wilson"/>
    <n v="5"/>
    <s v="Core"/>
    <s v="Active"/>
    <x v="21"/>
    <s v="ELA"/>
    <d v="2026-03-09T00:00:00"/>
    <x v="16"/>
    <s v="Below"/>
    <n v="0"/>
    <n v="0"/>
  </r>
  <r>
    <s v="S1027"/>
    <s v="Mia Thomas"/>
    <n v="5"/>
    <s v="MTSS Tier 3"/>
    <s v="Active"/>
    <x v="22"/>
    <s v="Science"/>
    <d v="2026-02-07T00:00:00"/>
    <x v="17"/>
    <s v="Met"/>
    <n v="1"/>
    <n v="0"/>
  </r>
  <r>
    <s v="S1028"/>
    <s v="Emma Miller"/>
    <n v="8"/>
    <s v="Core"/>
    <s v="Active"/>
    <x v="23"/>
    <s v="Science"/>
    <d v="2026-02-08T00:00:00"/>
    <x v="7"/>
    <s v="Met"/>
    <n v="3"/>
    <n v="0"/>
  </r>
  <r>
    <s v="S1029"/>
    <s v="Ella Wilson"/>
    <n v="7"/>
    <s v="Core"/>
    <s v="Active"/>
    <x v="24"/>
    <s v="Math"/>
    <d v="2026-03-26T00:00:00"/>
    <x v="8"/>
    <s v="Met"/>
    <n v="1"/>
    <n v="0"/>
  </r>
  <r>
    <s v="S1030"/>
    <s v="Olivia Brown"/>
    <n v="7"/>
    <s v="MTSS Tier 1"/>
    <s v="Active"/>
    <x v="5"/>
    <s v="Math"/>
    <d v="2026-03-07T00:00:00"/>
    <x v="18"/>
    <s v="Met"/>
    <n v="3"/>
    <n v="1"/>
  </r>
  <r>
    <s v="S1031"/>
    <s v="Sophia Brown"/>
    <n v="5"/>
    <s v="MTSS Tier 1"/>
    <s v="Active"/>
    <x v="14"/>
    <s v="ELA"/>
    <d v="2026-03-25T00:00:00"/>
    <x v="0"/>
    <s v="Met"/>
    <n v="0"/>
    <n v="0"/>
  </r>
  <r>
    <s v="S1032"/>
    <s v="Olivia Miller"/>
    <n v="5"/>
    <s v="MTSS Tier 1"/>
    <s v="Active"/>
    <x v="25"/>
    <s v="Science"/>
    <d v="2026-04-12T00:00:00"/>
    <x v="12"/>
    <s v="Met"/>
    <n v="1"/>
    <n v="0"/>
  </r>
  <r>
    <s v="S1033"/>
    <s v="Jack Anderson"/>
    <n v="7"/>
    <s v="Core"/>
    <s v="Active"/>
    <x v="26"/>
    <s v="Science"/>
    <d v="2026-02-16T00:00:00"/>
    <x v="0"/>
    <s v="Met"/>
    <n v="1"/>
    <n v="0"/>
  </r>
  <r>
    <s v="S1034"/>
    <s v="Noah Miller"/>
    <n v="7"/>
    <s v="Core"/>
    <s v="Active"/>
    <x v="25"/>
    <s v="Math"/>
    <d v="2026-03-04T00:00:00"/>
    <x v="19"/>
    <s v="Met"/>
    <n v="2"/>
    <n v="0"/>
  </r>
  <r>
    <s v="S1035"/>
    <s v="Henry Johnson"/>
    <n v="8"/>
    <s v="MTSS Tier 1"/>
    <s v="Active"/>
    <x v="27"/>
    <s v="ELA"/>
    <d v="2026-02-12T00:00:00"/>
    <x v="20"/>
    <s v="Below"/>
    <n v="0"/>
    <n v="0"/>
  </r>
  <r>
    <s v="S1036"/>
    <s v="Jack Miller"/>
    <n v="8"/>
    <s v="MTSS Tier 2"/>
    <s v="Active"/>
    <x v="28"/>
    <s v="Math"/>
    <d v="2026-03-18T00:00:00"/>
    <x v="17"/>
    <s v="Met"/>
    <n v="0"/>
    <n v="0"/>
  </r>
  <r>
    <s v="S1037"/>
    <s v="Sophia Garcia"/>
    <n v="7"/>
    <s v="MTSS Tier 1"/>
    <s v="Active"/>
    <x v="29"/>
    <s v="Math"/>
    <d v="2026-02-05T00:00:00"/>
    <x v="12"/>
    <s v="Met"/>
    <n v="0"/>
    <n v="0"/>
  </r>
  <r>
    <s v="S1038"/>
    <s v="Liam Wilson"/>
    <n v="8"/>
    <s v="Core"/>
    <s v="Active"/>
    <x v="30"/>
    <s v="Math"/>
    <d v="2026-02-09T00:00:00"/>
    <x v="21"/>
    <s v="Below"/>
    <n v="1"/>
    <n v="1"/>
  </r>
  <r>
    <s v="S1039"/>
    <s v="Daniel Patel"/>
    <n v="8"/>
    <s v="MTSS Tier 1"/>
    <s v="Active"/>
    <x v="31"/>
    <s v="Math"/>
    <d v="2026-02-11T00:00:00"/>
    <x v="21"/>
    <s v="Below"/>
    <n v="2"/>
    <n v="0"/>
  </r>
  <r>
    <s v="S1040"/>
    <s v="Charlotte Davis"/>
    <n v="6"/>
    <s v="MTSS Tier 1"/>
    <s v="Active"/>
    <x v="32"/>
    <s v="Science"/>
    <d v="2026-04-09T00:00:00"/>
    <x v="21"/>
    <s v="Below"/>
    <n v="2"/>
    <n v="0"/>
  </r>
  <r>
    <s v="S1041"/>
    <s v="Olivia Anderson"/>
    <n v="8"/>
    <s v="Core"/>
    <s v="Active"/>
    <x v="33"/>
    <s v="Science"/>
    <d v="2026-03-04T00:00:00"/>
    <x v="3"/>
    <s v="Met"/>
    <n v="3"/>
    <n v="0"/>
  </r>
  <r>
    <s v="S1042"/>
    <s v="James Miller"/>
    <n v="5"/>
    <s v="Core"/>
    <s v="Active"/>
    <x v="34"/>
    <s v="Math"/>
    <d v="2026-03-26T00:00:00"/>
    <x v="22"/>
    <s v="Met"/>
    <n v="3"/>
    <n v="0"/>
  </r>
  <r>
    <s v="S1043"/>
    <s v="Lucas Lee"/>
    <n v="8"/>
    <s v="Core"/>
    <s v="Active"/>
    <x v="35"/>
    <s v="ELA"/>
    <d v="2026-04-05T00:00:00"/>
    <x v="14"/>
    <s v="Met"/>
    <n v="2"/>
    <n v="1"/>
  </r>
  <r>
    <s v="S1044"/>
    <s v="Charlotte Brown"/>
    <n v="8"/>
    <s v="Core"/>
    <s v="Active"/>
    <x v="36"/>
    <s v="Not Available"/>
    <s v="Not Available"/>
    <x v="5"/>
    <s v="Not Available"/>
    <n v="0"/>
    <n v="0"/>
  </r>
  <r>
    <s v="S1045"/>
    <s v="Mia Garcia"/>
    <n v="7"/>
    <s v="Core"/>
    <s v="Active"/>
    <x v="37"/>
    <s v="ELA"/>
    <d v="2026-03-04T00:00:00"/>
    <x v="11"/>
    <s v="Met"/>
    <n v="0"/>
    <n v="0"/>
  </r>
  <r>
    <s v="S1046"/>
    <s v="Henry Taylor"/>
    <n v="5"/>
    <s v="Core"/>
    <s v="Active"/>
    <x v="38"/>
    <s v="ELA"/>
    <d v="2026-02-03T00:00:00"/>
    <x v="23"/>
    <s v="Met"/>
    <n v="1"/>
    <n v="0"/>
  </r>
  <r>
    <s v="S1047"/>
    <s v="Harper Thomas"/>
    <n v="8"/>
    <s v="Core"/>
    <s v="Active"/>
    <x v="39"/>
    <s v="Math"/>
    <d v="2026-04-10T00:00:00"/>
    <x v="6"/>
    <s v="Met"/>
    <n v="1"/>
    <n v="0"/>
  </r>
  <r>
    <s v="S1048"/>
    <s v="Noah Davis"/>
    <n v="8"/>
    <s v="Core"/>
    <s v="Active"/>
    <x v="3"/>
    <s v="Science"/>
    <d v="2026-03-18T00:00:00"/>
    <x v="24"/>
    <s v="Below"/>
    <n v="1"/>
    <n v="0"/>
  </r>
  <r>
    <s v="S1049"/>
    <s v="Jack Anderson"/>
    <n v="6"/>
    <s v="MTSS Tier 3"/>
    <s v="Withdrawn"/>
    <x v="40"/>
    <s v="ELA"/>
    <d v="2026-03-16T00:00:00"/>
    <x v="16"/>
    <s v="Below"/>
    <n v="4"/>
    <n v="0"/>
  </r>
  <r>
    <s v="S1050"/>
    <s v="Lucas Patel"/>
    <n v="8"/>
    <s v="MTSS Tier 2"/>
    <s v="Active"/>
    <x v="41"/>
    <s v="Math"/>
    <d v="2026-03-04T00:00:00"/>
    <x v="25"/>
    <s v="Met"/>
    <n v="1"/>
    <n v="0"/>
  </r>
  <r>
    <s v="S1051"/>
    <s v="Noah Davis"/>
    <n v="8"/>
    <s v="Core"/>
    <s v="Active"/>
    <x v="28"/>
    <s v="ELA"/>
    <d v="2026-03-26T00:00:00"/>
    <x v="26"/>
    <s v="Met"/>
    <n v="1"/>
    <n v="0"/>
  </r>
  <r>
    <s v="S1052"/>
    <s v="Liam Miller"/>
    <n v="6"/>
    <s v="MTSS Tier 3"/>
    <s v="Active"/>
    <x v="23"/>
    <s v="ELA"/>
    <d v="2026-01-15T00:00:00"/>
    <x v="3"/>
    <s v="Met"/>
    <n v="2"/>
    <n v="0"/>
  </r>
  <r>
    <s v="S1053"/>
    <s v="Ethan Johnson"/>
    <n v="7"/>
    <s v="MTSS Tier 1"/>
    <s v="Active"/>
    <x v="3"/>
    <s v="Math"/>
    <d v="2026-01-27T00:00:00"/>
    <x v="22"/>
    <s v="Met"/>
    <n v="0"/>
    <n v="0"/>
  </r>
  <r>
    <s v="S1054"/>
    <s v="Mason Brown"/>
    <n v="8"/>
    <s v="Core"/>
    <s v="Active"/>
    <x v="42"/>
    <s v="Science"/>
    <d v="2026-04-11T00:00:00"/>
    <x v="1"/>
    <s v="Met"/>
    <n v="0"/>
    <n v="0"/>
  </r>
  <r>
    <s v="S1055"/>
    <s v="Noah Brown"/>
    <n v="6"/>
    <s v="Core"/>
    <s v="Active"/>
    <x v="43"/>
    <s v="Science"/>
    <d v="2026-03-06T00:00:00"/>
    <x v="27"/>
    <s v="Met"/>
    <n v="1"/>
    <n v="0"/>
  </r>
  <r>
    <s v="S1056"/>
    <s v="Jack Taylor"/>
    <n v="5"/>
    <s v="Core"/>
    <s v="Active"/>
    <x v="44"/>
    <s v="Math"/>
    <d v="2026-03-11T00:00:00"/>
    <x v="19"/>
    <s v="Met"/>
    <n v="0"/>
    <n v="0"/>
  </r>
  <r>
    <s v="S1057"/>
    <s v="James Johnson"/>
    <n v="7"/>
    <s v="Core"/>
    <s v="Active"/>
    <x v="33"/>
    <s v="Science"/>
    <d v="2026-04-07T00:00:00"/>
    <x v="28"/>
    <s v="Met"/>
    <n v="1"/>
    <n v="0"/>
  </r>
  <r>
    <s v="S1058"/>
    <s v="Liam Thomas"/>
    <n v="5"/>
    <s v="MTSS Tier 1"/>
    <s v="Active"/>
    <x v="45"/>
    <s v="Math"/>
    <d v="2026-03-17T00:00:00"/>
    <x v="29"/>
    <s v="Below"/>
    <n v="1"/>
    <n v="0"/>
  </r>
  <r>
    <s v="S1059"/>
    <s v="Mason Wilson"/>
    <n v="5"/>
    <s v="MTSS Tier 1"/>
    <s v="Withdrawn"/>
    <x v="46"/>
    <s v="Math"/>
    <d v="2026-02-15T00:00:00"/>
    <x v="22"/>
    <s v="Met"/>
    <n v="0"/>
    <n v="0"/>
  </r>
  <r>
    <s v="S1060"/>
    <s v="Noah Smith"/>
    <n v="6"/>
    <s v="Core"/>
    <s v="Active"/>
    <x v="47"/>
    <s v="Math"/>
    <d v="2026-02-13T00:00:00"/>
    <x v="30"/>
    <s v="Below"/>
    <n v="0"/>
    <n v="0"/>
  </r>
  <r>
    <s v="S1061"/>
    <s v="Henry Garcia"/>
    <n v="8"/>
    <s v="MTSS Tier 3"/>
    <s v="Active"/>
    <x v="48"/>
    <s v="Science"/>
    <d v="2026-02-12T00:00:00"/>
    <x v="25"/>
    <s v="Met"/>
    <n v="2"/>
    <n v="0"/>
  </r>
  <r>
    <s v="S1062"/>
    <s v="Leo Brown"/>
    <n v="6"/>
    <s v="MTSS Tier 2"/>
    <s v="Active"/>
    <x v="3"/>
    <s v="Math"/>
    <d v="2026-03-04T00:00:00"/>
    <x v="11"/>
    <s v="Met"/>
    <n v="0"/>
    <n v="0"/>
  </r>
  <r>
    <s v="S1063"/>
    <s v="Charlotte Lee"/>
    <n v="6"/>
    <s v="Core"/>
    <s v="Active"/>
    <x v="49"/>
    <s v="ELA"/>
    <d v="2026-02-28T00:00:00"/>
    <x v="11"/>
    <s v="Met"/>
    <n v="2"/>
    <n v="1"/>
  </r>
  <r>
    <s v="S1064"/>
    <s v="Lucas Brown"/>
    <n v="6"/>
    <s v="MTSS Tier 3"/>
    <s v="Active"/>
    <x v="50"/>
    <s v="Science"/>
    <d v="2026-02-13T00:00:00"/>
    <x v="6"/>
    <s v="Met"/>
    <n v="2"/>
    <n v="0"/>
  </r>
  <r>
    <s v="S1065"/>
    <s v="Henry Davis"/>
    <n v="6"/>
    <s v="MTSS Tier 3"/>
    <s v="Active"/>
    <x v="51"/>
    <s v="Science"/>
    <d v="2026-01-30T00:00:00"/>
    <x v="14"/>
    <s v="Met"/>
    <n v="2"/>
    <n v="0"/>
  </r>
  <r>
    <s v="S1066"/>
    <s v="Lucas Brown"/>
    <n v="7"/>
    <s v="MTSS Tier 3"/>
    <s v="Active"/>
    <x v="21"/>
    <s v="Science"/>
    <d v="2026-02-23T00:00:00"/>
    <x v="30"/>
    <s v="Below"/>
    <n v="0"/>
    <n v="0"/>
  </r>
  <r>
    <s v="S1067"/>
    <s v="Leo Anderson"/>
    <n v="8"/>
    <s v="Core"/>
    <s v="Withdrawn"/>
    <x v="52"/>
    <s v="Science"/>
    <d v="2026-02-02T00:00:00"/>
    <x v="13"/>
    <s v="Below"/>
    <n v="0"/>
    <n v="0"/>
  </r>
  <r>
    <s v="S1068"/>
    <s v="Amelia Brown"/>
    <n v="5"/>
    <s v="MTSS Tier 1"/>
    <s v="Active"/>
    <x v="31"/>
    <s v="ELA"/>
    <d v="2026-02-01T00:00:00"/>
    <x v="31"/>
    <s v="Met"/>
    <n v="3"/>
    <n v="0"/>
  </r>
  <r>
    <s v="S1069"/>
    <s v="Jack Smith"/>
    <n v="5"/>
    <s v="Core"/>
    <s v="Active"/>
    <x v="53"/>
    <s v="Science"/>
    <d v="2026-01-15T00:00:00"/>
    <x v="20"/>
    <s v="Below"/>
    <n v="2"/>
    <n v="0"/>
  </r>
  <r>
    <s v="S1070"/>
    <s v="Charlotte Smith"/>
    <n v="8"/>
    <s v="MTSS Tier 1"/>
    <s v="Active"/>
    <x v="54"/>
    <s v="Science"/>
    <d v="2026-04-02T00:00:00"/>
    <x v="21"/>
    <s v="Below"/>
    <n v="0"/>
    <n v="0"/>
  </r>
  <r>
    <s v="S1071"/>
    <s v="Amelia Thomas"/>
    <n v="5"/>
    <s v="MTSS Tier 3"/>
    <s v="Active"/>
    <x v="55"/>
    <s v="Math"/>
    <d v="2026-03-02T00:00:00"/>
    <x v="14"/>
    <s v="Met"/>
    <n v="2"/>
    <n v="0"/>
  </r>
  <r>
    <s v="S1072"/>
    <s v="Sophia Patel"/>
    <n v="8"/>
    <s v="MTSS Tier 1"/>
    <s v="Active"/>
    <x v="47"/>
    <s v="Science"/>
    <d v="2026-03-21T00:00:00"/>
    <x v="32"/>
    <s v="Met"/>
    <n v="0"/>
    <n v="0"/>
  </r>
  <r>
    <s v="S1073"/>
    <s v="Charlotte Wilson"/>
    <n v="5"/>
    <s v="MTSS Tier 2"/>
    <s v="Active"/>
    <x v="56"/>
    <s v="ELA"/>
    <d v="2026-02-21T00:00:00"/>
    <x v="33"/>
    <s v="Below"/>
    <n v="0"/>
    <n v="0"/>
  </r>
  <r>
    <s v="S1074"/>
    <s v="Amelia Lee"/>
    <n v="6"/>
    <s v="MTSS Tier 2"/>
    <s v="Active"/>
    <x v="57"/>
    <s v="ELA"/>
    <d v="2026-03-06T00:00:00"/>
    <x v="11"/>
    <s v="Met"/>
    <n v="0"/>
    <n v="0"/>
  </r>
  <r>
    <s v="S1075"/>
    <s v="Ava Brown"/>
    <n v="5"/>
    <s v="MTSS Tier 2"/>
    <s v="Active"/>
    <x v="40"/>
    <s v="ELA"/>
    <d v="2026-03-18T00:00:00"/>
    <x v="34"/>
    <s v="Met"/>
    <n v="2"/>
    <n v="0"/>
  </r>
  <r>
    <s v="S1076"/>
    <s v="Olivia Brown"/>
    <n v="8"/>
    <s v="Core"/>
    <s v="Active"/>
    <x v="3"/>
    <s v="ELA"/>
    <d v="2026-01-18T00:00:00"/>
    <x v="35"/>
    <s v="Met"/>
    <n v="3"/>
    <n v="0"/>
  </r>
  <r>
    <s v="S1077"/>
    <s v="Sophia Garcia"/>
    <n v="8"/>
    <s v="Core"/>
    <s v="Active"/>
    <x v="34"/>
    <s v="Science"/>
    <d v="2026-01-15T00:00:00"/>
    <x v="36"/>
    <s v="Met"/>
    <n v="2"/>
    <n v="0"/>
  </r>
  <r>
    <s v="S1078"/>
    <s v="Ava Smith"/>
    <n v="8"/>
    <s v="Core"/>
    <s v="Active"/>
    <x v="58"/>
    <s v="Science"/>
    <d v="2026-01-22T00:00:00"/>
    <x v="3"/>
    <s v="Met"/>
    <n v="0"/>
    <n v="0"/>
  </r>
  <r>
    <s v="S1079"/>
    <s v="James Lee"/>
    <n v="8"/>
    <s v="MTSS Tier 2"/>
    <s v="Active"/>
    <x v="59"/>
    <s v="ELA"/>
    <d v="2026-02-12T00:00:00"/>
    <x v="9"/>
    <s v="Met"/>
    <n v="2"/>
    <n v="0"/>
  </r>
  <r>
    <s v="S1080"/>
    <s v="Lucas Thomas"/>
    <n v="8"/>
    <s v="Core"/>
    <s v="Active"/>
    <x v="19"/>
    <s v="ELA"/>
    <d v="2026-03-10T00:00:00"/>
    <x v="12"/>
    <s v="Met"/>
    <n v="5"/>
    <n v="1"/>
  </r>
  <r>
    <s v="S1081"/>
    <s v="Isabella Taylor"/>
    <n v="7"/>
    <s v="Core"/>
    <s v="Active"/>
    <x v="33"/>
    <s v="Science"/>
    <d v="2026-01-17T00:00:00"/>
    <x v="12"/>
    <s v="Met"/>
    <n v="1"/>
    <n v="0"/>
  </r>
  <r>
    <s v="S1082"/>
    <s v="Ella Patel"/>
    <n v="7"/>
    <s v="Core"/>
    <s v="Active"/>
    <x v="60"/>
    <s v="ELA"/>
    <d v="2026-02-15T00:00:00"/>
    <x v="11"/>
    <s v="Met"/>
    <n v="2"/>
    <n v="0"/>
  </r>
  <r>
    <s v="S1083"/>
    <s v="Harper Wilson"/>
    <n v="5"/>
    <s v="MTSS Tier 1"/>
    <s v="Active"/>
    <x v="61"/>
    <s v="Math"/>
    <d v="2026-01-24T00:00:00"/>
    <x v="1"/>
    <s v="Met"/>
    <n v="3"/>
    <n v="0"/>
  </r>
  <r>
    <s v="S1084"/>
    <s v="Lucas Johnson"/>
    <n v="8"/>
    <s v="MTSS Tier 2"/>
    <s v="Active"/>
    <x v="62"/>
    <s v="ELA"/>
    <d v="2026-03-29T00:00:00"/>
    <x v="26"/>
    <s v="Met"/>
    <n v="1"/>
    <n v="0"/>
  </r>
  <r>
    <s v="S1085"/>
    <s v="Mia Wilson"/>
    <n v="5"/>
    <s v="MTSS Tier 2"/>
    <s v="Active"/>
    <x v="63"/>
    <s v="ELA"/>
    <d v="2026-04-07T00:00:00"/>
    <x v="18"/>
    <s v="Met"/>
    <n v="0"/>
    <n v="0"/>
  </r>
  <r>
    <s v="S1086"/>
    <s v="Mia Anderson"/>
    <n v="8"/>
    <s v="Core"/>
    <s v="Active"/>
    <x v="64"/>
    <s v="Math"/>
    <d v="2026-02-17T00:00:00"/>
    <x v="10"/>
    <s v="Met"/>
    <n v="0"/>
    <n v="0"/>
  </r>
  <r>
    <s v="S1087"/>
    <s v="Ava Davis"/>
    <n v="8"/>
    <s v="MTSS Tier 2"/>
    <s v="Active"/>
    <x v="39"/>
    <s v="Math"/>
    <d v="2026-04-11T00:00:00"/>
    <x v="18"/>
    <s v="Met"/>
    <n v="0"/>
    <n v="0"/>
  </r>
  <r>
    <s v="S1088"/>
    <s v="Emma Anderson"/>
    <n v="7"/>
    <s v="MTSS Tier 1"/>
    <s v="Active"/>
    <x v="65"/>
    <s v="Science"/>
    <d v="2026-03-10T00:00:00"/>
    <x v="30"/>
    <s v="Below"/>
    <n v="1"/>
    <n v="1"/>
  </r>
  <r>
    <s v="S1089"/>
    <s v="Mason Brown"/>
    <n v="7"/>
    <s v="Core"/>
    <s v="Active"/>
    <x v="53"/>
    <s v="Science"/>
    <d v="2026-02-15T00:00:00"/>
    <x v="14"/>
    <s v="Met"/>
    <n v="0"/>
    <n v="0"/>
  </r>
  <r>
    <s v="S1090"/>
    <s v="Olivia Patel"/>
    <n v="6"/>
    <s v="MTSS Tier 1"/>
    <s v="Active"/>
    <x v="66"/>
    <s v="Math"/>
    <d v="2026-03-05T00:00:00"/>
    <x v="37"/>
    <s v="Below"/>
    <n v="1"/>
    <n v="0"/>
  </r>
  <r>
    <s v="S1091"/>
    <s v="Sophia Davis"/>
    <n v="7"/>
    <s v="Core"/>
    <s v="Active"/>
    <x v="67"/>
    <s v="Math"/>
    <d v="2026-01-21T00:00:00"/>
    <x v="10"/>
    <s v="Met"/>
    <n v="2"/>
    <n v="0"/>
  </r>
  <r>
    <s v="S1092"/>
    <s v="Olivia Lee"/>
    <n v="6"/>
    <s v="Core"/>
    <s v="Active"/>
    <x v="68"/>
    <s v="Science"/>
    <d v="2026-01-22T00:00:00"/>
    <x v="38"/>
    <s v="Below"/>
    <n v="1"/>
    <n v="1"/>
  </r>
  <r>
    <s v="S1093"/>
    <s v="Sophia Johnson"/>
    <n v="6"/>
    <s v="MTSS Tier 1"/>
    <s v="Active"/>
    <x v="7"/>
    <s v="ELA"/>
    <d v="2026-03-20T00:00:00"/>
    <x v="28"/>
    <s v="Met"/>
    <n v="2"/>
    <n v="0"/>
  </r>
  <r>
    <s v="S1094"/>
    <s v="Lucas Smith"/>
    <n v="6"/>
    <s v="Core"/>
    <s v="Active"/>
    <x v="69"/>
    <s v="Math"/>
    <d v="2026-03-12T00:00:00"/>
    <x v="19"/>
    <s v="Met"/>
    <n v="1"/>
    <n v="0"/>
  </r>
  <r>
    <s v="S1095"/>
    <s v="James Patel"/>
    <n v="6"/>
    <s v="Core"/>
    <s v="Active"/>
    <x v="26"/>
    <s v="Science"/>
    <d v="2026-03-22T00:00:00"/>
    <x v="16"/>
    <s v="Below"/>
    <n v="0"/>
    <n v="0"/>
  </r>
  <r>
    <s v="S1096"/>
    <s v="Liam Patel"/>
    <n v="6"/>
    <s v="Core"/>
    <s v="Active"/>
    <x v="57"/>
    <s v="ELA"/>
    <d v="2026-04-12T00:00:00"/>
    <x v="35"/>
    <s v="Met"/>
    <n v="1"/>
    <n v="0"/>
  </r>
  <r>
    <s v="S1097"/>
    <s v="Ava Anderson"/>
    <n v="5"/>
    <s v="Core"/>
    <s v="Active"/>
    <x v="70"/>
    <s v="Math"/>
    <d v="2026-04-11T00:00:00"/>
    <x v="1"/>
    <s v="Met"/>
    <n v="1"/>
    <n v="0"/>
  </r>
  <r>
    <s v="S1098"/>
    <s v="Leo Brown"/>
    <n v="7"/>
    <s v="Core"/>
    <s v="Withdrawn"/>
    <x v="71"/>
    <s v="ELA"/>
    <d v="2026-03-14T00:00:00"/>
    <x v="22"/>
    <s v="Met"/>
    <n v="1"/>
    <n v="0"/>
  </r>
  <r>
    <s v="S1099"/>
    <s v="Emma Miller"/>
    <n v="6"/>
    <s v="MTSS Tier 1"/>
    <s v="Active"/>
    <x v="22"/>
    <s v="Science"/>
    <d v="2026-03-27T00:00:00"/>
    <x v="20"/>
    <s v="Below"/>
    <n v="2"/>
    <n v="0"/>
  </r>
  <r>
    <s v="S1100"/>
    <s v="Mia Thomas"/>
    <n v="8"/>
    <s v="MTSS Tier 1"/>
    <s v="Active"/>
    <x v="3"/>
    <s v="Math"/>
    <d v="2026-03-09T00:00:00"/>
    <x v="14"/>
    <s v="Met"/>
    <n v="6"/>
    <n v="0"/>
  </r>
  <r>
    <s v="S1101"/>
    <s v="James Anderson"/>
    <n v="7"/>
    <s v="MTSS Tier 2"/>
    <s v="Active"/>
    <x v="49"/>
    <s v="ELA"/>
    <d v="2026-03-22T00:00:00"/>
    <x v="2"/>
    <s v="Met"/>
    <n v="1"/>
    <n v="0"/>
  </r>
  <r>
    <s v="S1102"/>
    <s v="Lucas Patel"/>
    <n v="7"/>
    <s v="MTSS Tier 2"/>
    <s v="Active"/>
    <x v="72"/>
    <s v="Math"/>
    <d v="2026-03-06T00:00:00"/>
    <x v="30"/>
    <s v="Below"/>
    <n v="0"/>
    <n v="0"/>
  </r>
  <r>
    <s v="S1103"/>
    <s v="Mia Garcia"/>
    <n v="6"/>
    <s v="MTSS Tier 1"/>
    <s v="Active"/>
    <x v="62"/>
    <s v="ELA"/>
    <d v="2026-01-22T00:00:00"/>
    <x v="23"/>
    <s v="Met"/>
    <n v="1"/>
    <n v="0"/>
  </r>
  <r>
    <s v="S1104"/>
    <s v="Ava Johnson"/>
    <n v="5"/>
    <s v="MTSS Tier 1"/>
    <s v="Active"/>
    <x v="73"/>
    <s v="Science"/>
    <d v="2026-02-17T00:00:00"/>
    <x v="38"/>
    <s v="Below"/>
    <n v="1"/>
    <n v="0"/>
  </r>
  <r>
    <s v="S1105"/>
    <s v="Mia Thomas"/>
    <n v="6"/>
    <s v="Core"/>
    <s v="Active"/>
    <x v="1"/>
    <s v="Science"/>
    <d v="2026-02-18T00:00:00"/>
    <x v="14"/>
    <s v="Met"/>
    <n v="1"/>
    <n v="0"/>
  </r>
  <r>
    <s v="S1106"/>
    <s v="Emma Anderson"/>
    <n v="5"/>
    <s v="Core"/>
    <s v="Active"/>
    <x v="43"/>
    <s v="Math"/>
    <d v="2026-04-12T00:00:00"/>
    <x v="18"/>
    <s v="Met"/>
    <n v="1"/>
    <n v="0"/>
  </r>
  <r>
    <s v="S1107"/>
    <s v="Charlotte Johnson"/>
    <n v="8"/>
    <s v="Core"/>
    <s v="Active"/>
    <x v="74"/>
    <s v="ELA"/>
    <d v="2026-04-02T00:00:00"/>
    <x v="32"/>
    <s v="Met"/>
    <n v="2"/>
    <n v="0"/>
  </r>
  <r>
    <s v="S1108"/>
    <s v="Henry Garcia"/>
    <n v="7"/>
    <s v="Core"/>
    <s v="Active"/>
    <x v="64"/>
    <s v="Math"/>
    <d v="2026-02-15T00:00:00"/>
    <x v="39"/>
    <s v="Below"/>
    <n v="1"/>
    <n v="1"/>
  </r>
  <r>
    <s v="S1109"/>
    <s v="Mia Taylor"/>
    <n v="8"/>
    <s v="Core"/>
    <s v="Active"/>
    <x v="63"/>
    <s v="Math"/>
    <d v="2026-03-01T00:00:00"/>
    <x v="30"/>
    <s v="Below"/>
    <n v="2"/>
    <n v="0"/>
  </r>
  <r>
    <s v="S1110"/>
    <s v="Ava Garcia"/>
    <n v="5"/>
    <s v="Core"/>
    <s v="Active"/>
    <x v="17"/>
    <s v="ELA"/>
    <d v="2026-01-30T00:00:00"/>
    <x v="0"/>
    <s v="Met"/>
    <n v="2"/>
    <n v="0"/>
  </r>
  <r>
    <s v="S1111"/>
    <s v="Emma Garcia"/>
    <n v="5"/>
    <s v="MTSS Tier 2"/>
    <s v="Active"/>
    <x v="44"/>
    <s v="ELA"/>
    <d v="2026-03-23T00:00:00"/>
    <x v="2"/>
    <s v="Met"/>
    <n v="2"/>
    <n v="0"/>
  </r>
  <r>
    <s v="S1112"/>
    <s v="Henry Johnson"/>
    <n v="8"/>
    <s v="MTSS Tier 3"/>
    <s v="Active"/>
    <x v="75"/>
    <s v="ELA"/>
    <d v="2026-02-20T00:00:00"/>
    <x v="14"/>
    <s v="Met"/>
    <n v="3"/>
    <n v="0"/>
  </r>
  <r>
    <s v="S1113"/>
    <s v="Olivia Wilson"/>
    <n v="5"/>
    <s v="MTSS Tier 1"/>
    <s v="Active"/>
    <x v="76"/>
    <s v="Science"/>
    <d v="2026-03-09T00:00:00"/>
    <x v="40"/>
    <s v="Met"/>
    <n v="0"/>
    <n v="0"/>
  </r>
  <r>
    <s v="S1114"/>
    <s v="Sophia Johnson"/>
    <n v="8"/>
    <s v="Core"/>
    <s v="Active"/>
    <x v="77"/>
    <s v="Math"/>
    <d v="2026-04-09T00:00:00"/>
    <x v="25"/>
    <s v="Met"/>
    <n v="4"/>
    <n v="0"/>
  </r>
  <r>
    <s v="S1115"/>
    <s v="Charlotte Miller"/>
    <n v="7"/>
    <s v="Core"/>
    <s v="Active"/>
    <x v="78"/>
    <s v="Math"/>
    <d v="2026-01-28T00:00:00"/>
    <x v="41"/>
    <s v="Met"/>
    <n v="2"/>
    <n v="0"/>
  </r>
  <r>
    <s v="S1116"/>
    <s v="Charlotte Brown"/>
    <n v="8"/>
    <s v="MTSS Tier 2"/>
    <s v="Active"/>
    <x v="79"/>
    <s v="Science"/>
    <d v="2026-03-10T00:00:00"/>
    <x v="32"/>
    <s v="Met"/>
    <n v="2"/>
    <n v="0"/>
  </r>
  <r>
    <s v="S1117"/>
    <s v="Mason Davis"/>
    <n v="7"/>
    <s v="MTSS Tier 2"/>
    <s v="Active"/>
    <x v="80"/>
    <s v="ELA"/>
    <d v="2026-03-03T00:00:00"/>
    <x v="19"/>
    <s v="Met"/>
    <n v="0"/>
    <n v="0"/>
  </r>
  <r>
    <s v="S1118"/>
    <s v="Amelia Wilson"/>
    <n v="8"/>
    <s v="Core"/>
    <s v="Active"/>
    <x v="30"/>
    <s v="Science"/>
    <d v="2026-04-06T00:00:00"/>
    <x v="42"/>
    <s v="Below"/>
    <n v="0"/>
    <n v="0"/>
  </r>
  <r>
    <s v="S1119"/>
    <s v="Ella Smith"/>
    <n v="5"/>
    <s v="MTSS Tier 1"/>
    <s v="Active"/>
    <x v="81"/>
    <s v="Science"/>
    <d v="2026-01-21T00:00:00"/>
    <x v="43"/>
    <s v="Below"/>
    <n v="2"/>
    <n v="0"/>
  </r>
  <r>
    <m/>
    <m/>
    <m/>
    <m/>
    <m/>
    <x v="82"/>
    <m/>
    <m/>
    <x v="44"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6" rowHeaderCaption="Grade" fieldListSortAscending="0" mdxSubqueries="0" applyNumberFormats="0" applyBorderFormats="0" applyFontFormats="0" applyPatternFormats="0" applyAlignmentFormats="0" applyWidthHeightFormats="1" r:id="rId1">
  <location ref="A3:E8" firstHeaderRow="0" firstDataRow="1" firstDataCol="1"/>
  <pivotFields count="1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1"/>
        <item t="data" sd="1" x="3"/>
        <item t="data" sd="1" x="2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Average Attendance" fld="5" subtotal="average" showDataAs="normal" baseField="2" baseItem="0" numFmtId="165"/>
    <dataField name="Average Assessment Score" fld="8" subtotal="average" showDataAs="normal" baseField="2" baseItem="0" numFmtId="165"/>
    <dataField name="Sum of Discipline Incidents" fld="10" subtotal="sum" showDataAs="normal" baseField="2" baseItem="0"/>
    <dataField name="Sum of Major Incidents" fld="11" subtotal="sum" showDataAs="normal" baseField="2" baseItem="0"/>
  </dataFields>
  <formats count="3">
    <format action="formatting" dxfId="19">
      <pivotArea type="normal" dataOnly="0" labelOnly="1" outline="0" fieldPosition="0">
        <references count="1">
          <reference field="4294967294">
            <x v="0"/>
          </reference>
        </references>
      </pivotArea>
    </format>
    <format action="formatting" dxfId="18">
      <pivotArea type="normal" dataOnly="1" outline="0" collapsedLevelsAreSubtotals="1" fieldPosition="0">
        <references count="1">
          <reference field="4294967294" selected="0">
            <x v="0"/>
          </reference>
        </references>
      </pivotArea>
    </format>
    <format action="formatting" dxfId="17">
      <pivotArea type="normal" dataOnly="1" outline="0" collapsedLevelsAreSubtotals="1" fieldPosition="0">
        <references count="1">
          <reference field="4294967294" selected="0">
            <x v="1"/>
          </reference>
        </references>
      </pivotArea>
    </format>
  </formats>
  <chartFormats count="4">
    <chartFormat chart="9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5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9" format="6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9" format="7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Program" fieldListSortAscending="0" mdxSubqueries="0" applyNumberFormats="0" applyBorderFormats="0" applyFontFormats="0" applyPatternFormats="0" applyAlignmentFormats="0" applyWidthHeightFormats="1" r:id="rId1">
  <location ref="A1:E6" firstHeaderRow="0" firstDataRow="1" firstDataCol="1"/>
  <pivotFields count="1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2"/>
        <item t="data" sd="1" x="1"/>
        <item t="data" sd="1" x="0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Average of Attendance_Rate" fld="5" subtotal="average" showDataAs="normal" baseField="0" baseItem="0" numFmtId="165"/>
    <dataField name="Average of Assessment_Score" fld="8" subtotal="average" showDataAs="normal" baseField="0" baseItem="0" numFmtId="165"/>
    <dataField name="Sum of Discipline_Incidents" fld="10" subtotal="sum" showDataAs="normal" baseField="0" baseItem="0"/>
    <dataField name="Sum of Major_Incidents" fld="11" subtotal="sum" showDataAs="normal" baseField="0" baseItem="0"/>
  </dataFields>
  <formats count="2">
    <format action="formatting" dxfId="16">
      <pivotArea type="normal" dataOnly="1" outline="0" collapsedLevelsAreSubtotals="1" fieldPosition="0">
        <references count="1">
          <reference field="4294967294" selected="0">
            <x v="0"/>
          </reference>
        </references>
      </pivotArea>
    </format>
    <format action="formatting" dxfId="15">
      <pivotArea type="normal" dataOnly="1" outline="0" collapsedLevelsAreSubtotals="1" fieldPosition="0">
        <references count="1">
          <reference field="4294967294" selected="0">
            <x v="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" cacheId="2" dataOnRows="0" dataCaption="Values" showError="1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Attendance Rate" fieldListSortAscending="0" mdxSubqueries="0" applyNumberFormats="0" applyBorderFormats="0" applyFontFormats="0" applyPatternFormats="0" applyAlignmentFormats="0" applyWidthHeightFormats="1" r:id="rId1">
  <location ref="B5:C89" firstHeaderRow="1" firstDataRow="1" firstDataCol="1"/>
  <pivotFields count="1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4">
        <item t="data" sd="1" x="61"/>
        <item t="data" sd="1" x="18"/>
        <item t="data" sd="1" x="51"/>
        <item t="data" sd="1" x="36"/>
        <item t="data" sd="1" x="63"/>
        <item t="data" sd="1" x="12"/>
        <item t="data" sd="1" x="50"/>
        <item t="data" sd="1" x="72"/>
        <item t="data" sd="1" x="6"/>
        <item t="data" sd="1" x="10"/>
        <item t="data" sd="1" x="25"/>
        <item t="data" sd="1" x="31"/>
        <item t="data" sd="1" x="7"/>
        <item t="data" sd="1" x="68"/>
        <item t="data" sd="1" x="59"/>
        <item t="data" sd="1" x="39"/>
        <item t="data" sd="1" x="60"/>
        <item t="data" sd="1" x="66"/>
        <item t="data" sd="1" x="9"/>
        <item t="data" sd="1" x="75"/>
        <item t="data" sd="1" x="38"/>
        <item t="data" sd="1" x="0"/>
        <item t="data" sd="1" x="23"/>
        <item t="data" sd="1" x="4"/>
        <item t="data" sd="1" x="40"/>
        <item t="data" sd="1" x="42"/>
        <item t="data" sd="1" x="80"/>
        <item t="data" sd="1" x="32"/>
        <item t="data" sd="1" x="14"/>
        <item t="data" sd="1" x="73"/>
        <item t="data" sd="1" x="76"/>
        <item t="data" sd="1" x="69"/>
        <item t="data" sd="1" x="41"/>
        <item t="data" sd="1" x="46"/>
        <item t="data" sd="1" x="78"/>
        <item t="data" sd="1" x="70"/>
        <item t="data" sd="1" x="28"/>
        <item t="data" sd="1" x="67"/>
        <item t="data" sd="1" x="79"/>
        <item t="data" sd="1" x="29"/>
        <item t="data" sd="1" x="74"/>
        <item t="data" sd="1" x="58"/>
        <item t="data" sd="1" x="33"/>
        <item t="data" sd="1" x="47"/>
        <item t="data" sd="1" x="8"/>
        <item t="data" sd="1" x="21"/>
        <item t="data" sd="1" x="54"/>
        <item t="data" sd="1" x="53"/>
        <item t="data" sd="1" x="56"/>
        <item t="data" sd="1" x="19"/>
        <item t="data" sd="1" x="35"/>
        <item t="data" sd="1" x="1"/>
        <item t="data" sd="1" x="11"/>
        <item t="data" sd="1" x="81"/>
        <item t="data" sd="1" x="30"/>
        <item t="data" sd="1" x="26"/>
        <item t="data" sd="1" x="62"/>
        <item t="data" sd="1" x="34"/>
        <item t="data" sd="1" x="15"/>
        <item t="data" sd="1" x="24"/>
        <item t="data" sd="1" x="49"/>
        <item t="data" sd="1" x="16"/>
        <item t="data" sd="1" x="43"/>
        <item t="data" sd="1" x="77"/>
        <item t="data" sd="1" x="17"/>
        <item t="data" sd="1" x="2"/>
        <item t="data" sd="1" x="65"/>
        <item t="data" sd="1" x="52"/>
        <item t="data" sd="1" x="44"/>
        <item t="data" sd="1" x="45"/>
        <item t="data" sd="1" x="22"/>
        <item t="data" sd="1" x="71"/>
        <item t="data" sd="1" x="37"/>
        <item t="data" sd="1" x="64"/>
        <item t="data" sd="1" x="13"/>
        <item t="data" sd="1" x="48"/>
        <item t="data" sd="1" x="27"/>
        <item t="data" sd="1" x="55"/>
        <item t="data" sd="1" x="20"/>
        <item t="data" sd="1" x="57"/>
        <item t="data" sd="1" x="3"/>
        <item t="data" sd="1" x="5"/>
        <item t="data" sd="1" x="8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46">
        <item t="data" sd="1" x="15"/>
        <item t="data" sd="1" x="43"/>
        <item t="data" sd="1" x="39"/>
        <item t="data" sd="1" x="24"/>
        <item t="data" sd="1" x="29"/>
        <item t="data" sd="1" x="4"/>
        <item t="data" sd="1" x="13"/>
        <item t="data" sd="1" x="30"/>
        <item t="data" sd="1" x="42"/>
        <item t="data" sd="1" x="16"/>
        <item t="data" sd="1" x="21"/>
        <item t="data" sd="1" x="38"/>
        <item t="data" sd="1" x="37"/>
        <item t="data" sd="1" x="20"/>
        <item t="data" sd="1" x="33"/>
        <item t="data" sd="1" x="6"/>
        <item t="data" sd="1" x="10"/>
        <item t="data" sd="1" x="26"/>
        <item t="data" sd="1" x="19"/>
        <item t="data" sd="1" x="22"/>
        <item t="data" sd="1" x="12"/>
        <item t="data" sd="1" x="18"/>
        <item t="data" sd="1" x="25"/>
        <item t="data" sd="1" x="11"/>
        <item t="data" sd="1" x="2"/>
        <item t="data" sd="1" x="40"/>
        <item t="data" sd="1" x="28"/>
        <item t="data" sd="1" x="35"/>
        <item t="data" sd="1" x="1"/>
        <item t="data" sd="1" x="3"/>
        <item t="data" sd="1" x="9"/>
        <item t="data" sd="1" x="32"/>
        <item t="data" sd="1" x="7"/>
        <item t="data" sd="1" x="8"/>
        <item t="data" sd="1" x="36"/>
        <item t="data" sd="1" x="0"/>
        <item t="data" sd="1" x="23"/>
        <item t="data" sd="1" x="27"/>
        <item t="data" sd="1" x="31"/>
        <item t="data" sd="1" x="41"/>
        <item t="data" sd="1" x="17"/>
        <item t="data" sd="1" x="34"/>
        <item t="data" sd="1" x="14"/>
        <item t="data" sd="1" x="5"/>
        <item t="data" sd="1" x="4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84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grand" r="0" i="0">
      <x v="0"/>
    </i>
  </rowItems>
  <colItems count="1">
    <i t="data" r="0" i="0"/>
  </colItems>
  <dataFields count="1">
    <dataField name="Average of Assessment_Score" fld="8" subtotal="average" showDataAs="normal" baseField="0" baseItem="0"/>
  </dataFields>
  <formats count="2">
    <format action="formatting" dxfId="13">
      <pivotArea type="normal" dataOnly="0" labelOnly="1" outline="0" axis="axisValues" fieldPosition="0"/>
    </format>
    <format action="formatting" dxfId="12">
      <pivotArea type="normal" dataOnly="1" outline="1" collapsedLevelsAreSubtotals="1" fieldPosition="0">
        <references count="1">
          <reference field="5">
            <x v="42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pivotTable" Target="/xl/pivotTables/pivotTable1.xml" Id="rId2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pivotTable" Target="/xl/pivotTables/pivotTable2.xml" Id="rId2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pivotTable" Target="/xl/pivotTables/pivotTable3.xml" Id="rId2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F6690"/>
    <outlinePr summaryBelow="1" summaryRight="1"/>
    <pageSetUpPr/>
  </sheetPr>
  <dimension ref="B2:L53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27" min="1" max="1"/>
    <col width="24" customWidth="1" style="27" min="2" max="2"/>
    <col width="18" customWidth="1" style="27" min="3" max="3"/>
    <col width="4" customWidth="1" style="27" min="4" max="4"/>
    <col width="24" customWidth="1" style="27" min="5" max="5"/>
    <col width="18" customWidth="1" style="27" min="6" max="6"/>
    <col width="4" customWidth="1" style="27" min="7" max="7"/>
    <col width="24" customWidth="1" style="27" min="8" max="8"/>
    <col width="18" customWidth="1" style="27" min="9" max="9"/>
    <col width="4" customWidth="1" style="27" min="10" max="10"/>
    <col width="24" customWidth="1" style="27" min="11" max="11"/>
    <col width="18" customWidth="1" style="27" min="12" max="12"/>
  </cols>
  <sheetData>
    <row r="2">
      <c r="B2" s="28" t="inlineStr">
        <is>
          <t>STUDENT DATA QUALITY &amp; OUTCOMES</t>
        </is>
      </c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</row>
    <row r="3"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</row>
    <row r="4">
      <c r="B4" s="30" t="inlineStr">
        <is>
          <t>Quad Preparatory School • Data Specialist Practice Project</t>
        </is>
      </c>
    </row>
    <row r="6">
      <c r="B6" s="31" t="inlineStr">
        <is>
          <t>Total Students</t>
        </is>
      </c>
      <c r="E6" s="31" t="inlineStr">
        <is>
          <t>Avg Attendance</t>
        </is>
      </c>
      <c r="H6" s="31" t="inlineStr">
        <is>
          <t>Avg Assessment</t>
        </is>
      </c>
      <c r="K6" s="31" t="inlineStr">
        <is>
          <t>Below 85%</t>
        </is>
      </c>
    </row>
    <row r="7">
      <c r="B7" s="32" t="n">
        <v>117</v>
      </c>
      <c r="E7" s="33" t="n">
        <v>91.8391304347826</v>
      </c>
      <c r="H7" s="33" t="n">
        <v>78.10526315789474</v>
      </c>
      <c r="K7" s="32" t="n">
        <v>22</v>
      </c>
    </row>
    <row r="8"/>
    <row r="10">
      <c r="B10" s="34" t="inlineStr">
        <is>
          <t>Attendance by Grade</t>
        </is>
      </c>
      <c r="E10" s="34" t="inlineStr">
        <is>
          <t>Assessment by Grade</t>
        </is>
      </c>
      <c r="H10" s="34" t="inlineStr">
        <is>
          <t>Attendance Bands</t>
        </is>
      </c>
      <c r="K10" s="34" t="inlineStr">
        <is>
          <t>Assessment by Program</t>
        </is>
      </c>
    </row>
    <row r="11">
      <c r="B11" s="35" t="inlineStr">
        <is>
          <t>Grade</t>
        </is>
      </c>
      <c r="C11" s="35" t="inlineStr">
        <is>
          <t>Avg Attendance</t>
        </is>
      </c>
      <c r="E11" s="35" t="inlineStr">
        <is>
          <t>Grade</t>
        </is>
      </c>
      <c r="F11" s="35" t="inlineStr">
        <is>
          <t>Avg Assessment</t>
        </is>
      </c>
      <c r="H11" s="35" t="inlineStr">
        <is>
          <t>Band</t>
        </is>
      </c>
      <c r="I11" s="35" t="inlineStr">
        <is>
          <t>Students</t>
        </is>
      </c>
      <c r="K11" s="35" t="inlineStr">
        <is>
          <t>Program</t>
        </is>
      </c>
      <c r="L11" s="35" t="inlineStr">
        <is>
          <t>Avg Assessment</t>
        </is>
      </c>
    </row>
    <row r="12">
      <c r="B12" t="n">
        <v>5</v>
      </c>
      <c r="C12" s="21" t="n">
        <v>91.48518518518519</v>
      </c>
      <c r="E12" t="n">
        <v>5</v>
      </c>
      <c r="F12" s="21" t="n">
        <v>80.48148148148148</v>
      </c>
      <c r="H12" t="inlineStr">
        <is>
          <t>&lt;85%</t>
        </is>
      </c>
      <c r="I12" t="n">
        <v>22</v>
      </c>
      <c r="K12" t="inlineStr">
        <is>
          <t>Core</t>
        </is>
      </c>
      <c r="L12" s="21" t="n">
        <v>78.75</v>
      </c>
    </row>
    <row r="13">
      <c r="B13" t="n">
        <v>6</v>
      </c>
      <c r="C13" s="21" t="n">
        <v>91.28</v>
      </c>
      <c r="E13" t="n">
        <v>6</v>
      </c>
      <c r="F13" s="21" t="n">
        <v>75.8</v>
      </c>
      <c r="H13" t="inlineStr">
        <is>
          <t>85–89.9%</t>
        </is>
      </c>
      <c r="I13" t="n">
        <v>17</v>
      </c>
      <c r="K13" t="inlineStr">
        <is>
          <t>MTSS Tier 1</t>
        </is>
      </c>
      <c r="L13" s="21" t="n">
        <v>74.70967741935483</v>
      </c>
    </row>
    <row r="14">
      <c r="B14" t="n">
        <v>7</v>
      </c>
      <c r="C14" s="21" t="n">
        <v>93.47727272727273</v>
      </c>
      <c r="E14" t="n">
        <v>7</v>
      </c>
      <c r="F14" s="21" t="n">
        <v>76.95652173913044</v>
      </c>
      <c r="H14" t="inlineStr">
        <is>
          <t>90–94.9%</t>
        </is>
      </c>
      <c r="I14" t="n">
        <v>30</v>
      </c>
      <c r="K14" t="inlineStr">
        <is>
          <t>MTSS Tier 2</t>
        </is>
      </c>
      <c r="L14" s="21" t="n">
        <v>80.6875</v>
      </c>
    </row>
    <row r="15">
      <c r="B15" t="n">
        <v>8</v>
      </c>
      <c r="C15" s="21" t="n">
        <v>91.53414634146341</v>
      </c>
      <c r="E15" t="n">
        <v>8</v>
      </c>
      <c r="F15" s="21" t="n">
        <v>78.61538461538461</v>
      </c>
      <c r="H15" t="inlineStr">
        <is>
          <t>95%+</t>
        </is>
      </c>
      <c r="I15" t="n">
        <v>46</v>
      </c>
      <c r="K15" t="inlineStr">
        <is>
          <t>MTSS Tier 3</t>
        </is>
      </c>
      <c r="L15" s="21" t="n">
        <v>81.7</v>
      </c>
    </row>
    <row r="16">
      <c r="K16" t="inlineStr">
        <is>
          <t>MTSS tier 2</t>
        </is>
      </c>
      <c r="L16" s="21" t="n">
        <v>70</v>
      </c>
    </row>
    <row r="34">
      <c r="H34" s="34" t="inlineStr">
        <is>
          <t>Key Takeaways</t>
        </is>
      </c>
    </row>
    <row r="35" ht="34" customHeight="1" s="27">
      <c r="H35" s="2" t="inlineStr">
        <is>
          <t>• Grade 8 has the highest recorded discipline incidents (64) in the grade summary.</t>
        </is>
      </c>
    </row>
    <row r="36" ht="34" customHeight="1" s="27">
      <c r="H36" s="2" t="inlineStr">
        <is>
          <t>• Grade 7 has the highest average attendance among grades 5–8 (93.5%).</t>
        </is>
      </c>
    </row>
    <row r="37" ht="34" customHeight="1" s="27">
      <c r="H37" s="2" t="inlineStr">
        <is>
          <t>• Overall average attendance is 91.8%; 22 students fall below the 85% analysis threshold.</t>
        </is>
      </c>
    </row>
    <row r="38" ht="34" customHeight="1" s="27">
      <c r="H38" s="2" t="inlineStr">
        <is>
          <t>• Average assessment score is 78.1; program differences should be investigated, not treated as causal.</t>
        </is>
      </c>
    </row>
    <row r="49">
      <c r="B49" s="36" t="inlineStr">
        <is>
          <t>Methodology note</t>
        </is>
      </c>
    </row>
    <row r="50">
      <c r="B50" s="37" t="inlineStr">
        <is>
          <t>Workflow: Raw → Profile → Clean → Data Quality Log/Data Dictionary → Analysis Ready → Student Outcome Analysis → KPIs/Pivots → Dashboard. Corrections were made only when supported by the available data or a documented rule; ambiguous issues were flagged rather than guessed. Attendance bands are analysis categories for this practice project, not official school policy.</t>
        </is>
      </c>
    </row>
    <row r="51"/>
    <row r="52"/>
    <row r="53"/>
  </sheetData>
  <mergeCells count="14">
    <mergeCell ref="B6:C6"/>
    <mergeCell ref="E6:F6"/>
    <mergeCell ref="H6:I6"/>
    <mergeCell ref="K7:L8"/>
    <mergeCell ref="H35:L35"/>
    <mergeCell ref="H37:L37"/>
    <mergeCell ref="B7:C8"/>
    <mergeCell ref="H38:L38"/>
    <mergeCell ref="E7:F8"/>
    <mergeCell ref="B50:L53"/>
    <mergeCell ref="H7:I8"/>
    <mergeCell ref="B2:L3"/>
    <mergeCell ref="H36:L36"/>
    <mergeCell ref="K6:L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B7C9D6"/>
    <outlinePr summaryBelow="1" summaryRight="1"/>
    <pageSetUpPr/>
  </sheetPr>
  <dimension ref="A1:F20"/>
  <sheetViews>
    <sheetView workbookViewId="0">
      <selection activeCell="B18" sqref="B18"/>
    </sheetView>
  </sheetViews>
  <sheetFormatPr baseColWidth="8" defaultRowHeight="15"/>
  <cols>
    <col width="22" customWidth="1" style="27" min="1" max="2"/>
    <col width="65" customWidth="1" style="27" min="3" max="3"/>
    <col width="22" customWidth="1" style="27" min="4" max="4"/>
    <col width="30" customWidth="1" style="27" min="5" max="5"/>
    <col width="70" customWidth="1" style="27" min="6" max="6"/>
  </cols>
  <sheetData>
    <row r="1">
      <c r="A1" s="1" t="inlineStr">
        <is>
          <t>Dataset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Role / Meaning</t>
        </is>
      </c>
      <c r="F1" s="1" t="inlineStr">
        <is>
          <t>Data Quality Notes</t>
        </is>
      </c>
    </row>
    <row r="2">
      <c r="A2" s="2" t="inlineStr">
        <is>
          <t>Students_Clean</t>
        </is>
      </c>
      <c r="B2" s="2" t="inlineStr">
        <is>
          <t>Student_ID</t>
        </is>
      </c>
      <c r="C2" s="2" t="inlineStr">
        <is>
          <t>Unique identifier assigned to each student.</t>
        </is>
      </c>
      <c r="D2" s="2" t="inlineStr">
        <is>
          <t>Text</t>
        </is>
      </c>
      <c r="E2" s="2" t="inlineStr">
        <is>
          <t>Primary key / student identifier</t>
        </is>
      </c>
      <c r="F2" s="2" t="inlineStr">
        <is>
          <t>Expected to be unique; S1004 is flagged for duplicate/conflicting records.</t>
        </is>
      </c>
    </row>
    <row r="3">
      <c r="A3" s="2" t="inlineStr">
        <is>
          <t>Students_Clean</t>
        </is>
      </c>
      <c r="B3" s="2" t="inlineStr">
        <is>
          <t>First_Name</t>
        </is>
      </c>
      <c r="C3" s="2" t="inlineStr">
        <is>
          <t>Student's first name.</t>
        </is>
      </c>
      <c r="D3" s="2" t="inlineStr">
        <is>
          <t>Text</t>
        </is>
      </c>
      <c r="E3" s="2" t="inlineStr">
        <is>
          <t>Student attribute</t>
        </is>
      </c>
      <c r="F3" s="2" t="inlineStr">
        <is>
          <t>Contains personally identifiable student information; handle securely.</t>
        </is>
      </c>
    </row>
    <row r="4">
      <c r="A4" s="2" t="inlineStr">
        <is>
          <t>Students_Clean</t>
        </is>
      </c>
      <c r="B4" s="2" t="inlineStr">
        <is>
          <t>Last_Name</t>
        </is>
      </c>
      <c r="C4" s="2" t="inlineStr">
        <is>
          <t>Student's last name.</t>
        </is>
      </c>
      <c r="D4" s="2" t="inlineStr">
        <is>
          <t>Text</t>
        </is>
      </c>
      <c r="E4" s="2" t="inlineStr">
        <is>
          <t>Student attribute</t>
        </is>
      </c>
      <c r="F4" s="2" t="inlineStr">
        <is>
          <t>Contains personally identifiable student information; handle securely.</t>
        </is>
      </c>
    </row>
    <row r="5">
      <c r="A5" s="2" t="inlineStr">
        <is>
          <t>Students_Clean</t>
        </is>
      </c>
      <c r="B5" s="2" t="inlineStr">
        <is>
          <t>Grade</t>
        </is>
      </c>
      <c r="C5" s="2" t="inlineStr">
        <is>
          <t>Student's current grade level.</t>
        </is>
      </c>
      <c r="D5" s="2" t="inlineStr">
        <is>
          <t>Text / categorical</t>
        </is>
      </c>
      <c r="E5" s="2" t="inlineStr">
        <is>
          <t>Student attribute</t>
        </is>
      </c>
      <c r="F5" s="2" t="inlineStr">
        <is>
          <t>Missing value was handled as Unknown for the identified record.</t>
        </is>
      </c>
    </row>
    <row r="6">
      <c r="A6" s="2" t="inlineStr">
        <is>
          <t>Students_Clean</t>
        </is>
      </c>
      <c r="B6" s="2" t="inlineStr">
        <is>
          <t>Enrollment_Status</t>
        </is>
      </c>
      <c r="C6" s="2" t="inlineStr">
        <is>
          <t>Current enrollment status of the student.</t>
        </is>
      </c>
      <c r="D6" s="2" t="inlineStr">
        <is>
          <t>Text / categorical</t>
        </is>
      </c>
      <c r="E6" s="2" t="inlineStr">
        <is>
          <t>Student status</t>
        </is>
      </c>
      <c r="F6" s="2" t="inlineStr">
        <is>
          <t>Standardized capitalization (e.g., active → Active).</t>
        </is>
      </c>
    </row>
    <row r="7">
      <c r="A7" s="2" t="inlineStr">
        <is>
          <t>Students_Clean</t>
        </is>
      </c>
      <c r="B7" s="2" t="inlineStr">
        <is>
          <t>Program</t>
        </is>
      </c>
      <c r="C7" s="2" t="inlineStr">
        <is>
          <t>Program in which the student is enrolled.</t>
        </is>
      </c>
      <c r="D7" s="2" t="inlineStr">
        <is>
          <t>Text / categorical</t>
        </is>
      </c>
      <c r="E7" s="2" t="inlineStr">
        <is>
          <t>Student attribute</t>
        </is>
      </c>
      <c r="F7" s="2" t="inlineStr">
        <is>
          <t>Used for grouping and comparison in analysis.</t>
        </is>
      </c>
    </row>
    <row r="8">
      <c r="A8" s="2" t="inlineStr">
        <is>
          <t>Students_Clean</t>
        </is>
      </c>
      <c r="B8" s="2" t="inlineStr">
        <is>
          <t>Enrollment_Date</t>
        </is>
      </c>
      <c r="C8" s="2" t="inlineStr">
        <is>
          <t>Date the student enrolled.</t>
        </is>
      </c>
      <c r="D8" s="2" t="inlineStr">
        <is>
          <t>Date</t>
        </is>
      </c>
      <c r="E8" s="2" t="inlineStr">
        <is>
          <t>Enrollment attribute</t>
        </is>
      </c>
      <c r="F8" s="2" t="inlineStr">
        <is>
          <t>Used for enrollment timing and trend analysis.</t>
        </is>
      </c>
    </row>
    <row r="9">
      <c r="A9" s="2" t="inlineStr">
        <is>
          <t>Attendance_Clean</t>
        </is>
      </c>
      <c r="B9" s="2" t="inlineStr">
        <is>
          <t>Student_ID</t>
        </is>
      </c>
      <c r="C9" s="2" t="inlineStr">
        <is>
          <t>Identifier linking attendance records to a student.</t>
        </is>
      </c>
      <c r="D9" s="2" t="inlineStr">
        <is>
          <t>Text</t>
        </is>
      </c>
      <c r="E9" s="2" t="inlineStr">
        <is>
          <t>Foreign key</t>
        </is>
      </c>
      <c r="F9" s="2" t="inlineStr">
        <is>
          <t>Should match Student_ID in Students_Clean.</t>
        </is>
      </c>
    </row>
    <row r="10">
      <c r="A10" s="2" t="inlineStr">
        <is>
          <t>Attendance_Clean</t>
        </is>
      </c>
      <c r="B10" s="2" t="inlineStr">
        <is>
          <t>Days_Enrolled</t>
        </is>
      </c>
      <c r="C10" s="2" t="inlineStr">
        <is>
          <t>Number of days the student was enrolled during the reporting period.</t>
        </is>
      </c>
      <c r="D10" s="2" t="inlineStr">
        <is>
          <t>Number</t>
        </is>
      </c>
      <c r="E10" s="2" t="inlineStr">
        <is>
          <t>Attendance denominator</t>
        </is>
      </c>
      <c r="F10" s="2" t="inlineStr">
        <is>
          <t>Used with Days_Present to validate attendance calculations.</t>
        </is>
      </c>
    </row>
    <row r="11">
      <c r="A11" s="2" t="inlineStr">
        <is>
          <t>Attendance_Clean</t>
        </is>
      </c>
      <c r="B11" s="2" t="inlineStr">
        <is>
          <t>Days_Present</t>
        </is>
      </c>
      <c r="C11" s="2" t="inlineStr">
        <is>
          <t>Number of days the student was present.</t>
        </is>
      </c>
      <c r="D11" s="2" t="inlineStr">
        <is>
          <t>Number</t>
        </is>
      </c>
      <c r="E11" s="2" t="inlineStr">
        <is>
          <t>Attendance measure</t>
        </is>
      </c>
      <c r="F11" s="2" t="inlineStr">
        <is>
          <t>Should not exceed Days_Enrolled; S1008 is flagged for review.</t>
        </is>
      </c>
    </row>
    <row r="12" ht="30" customHeight="1" s="27">
      <c r="A12" s="2" t="inlineStr">
        <is>
          <t>Attendance_Clean</t>
        </is>
      </c>
      <c r="B12" s="2" t="inlineStr">
        <is>
          <t>Days_Absent</t>
        </is>
      </c>
      <c r="C12" s="2" t="inlineStr">
        <is>
          <t>Number of days the student was absent.</t>
        </is>
      </c>
      <c r="D12" s="2" t="inlineStr">
        <is>
          <t>Number</t>
        </is>
      </c>
      <c r="E12" s="2" t="inlineStr">
        <is>
          <t>Attendance measure</t>
        </is>
      </c>
      <c r="F12" s="2" t="inlineStr">
        <is>
          <t>Validated as Days_Enrolled minus Days_Present when reliable; S1021 was corrected from -1 to 3.</t>
        </is>
      </c>
    </row>
    <row r="13" ht="30" customHeight="1" s="27">
      <c r="A13" s="2" t="inlineStr">
        <is>
          <t>Attendance_Clean</t>
        </is>
      </c>
      <c r="B13" s="2" t="inlineStr">
        <is>
          <t>Attendance_Rate</t>
        </is>
      </c>
      <c r="C13" s="2" t="inlineStr">
        <is>
          <t>Percentage of enrolled days on which the student was present.</t>
        </is>
      </c>
      <c r="D13" s="2" t="inlineStr">
        <is>
          <t>Percentage</t>
        </is>
      </c>
      <c r="E13" s="2" t="inlineStr">
        <is>
          <t>Attendance KPI</t>
        </is>
      </c>
      <c r="F13" s="2" t="inlineStr">
        <is>
          <t>Calculated as Days_Present / Days_Enrolled when valid; S1015 was populated when calculable.</t>
        </is>
      </c>
    </row>
    <row r="14">
      <c r="A14" s="2" t="inlineStr">
        <is>
          <t>Assessments_Clean</t>
        </is>
      </c>
      <c r="B14" s="2" t="inlineStr">
        <is>
          <t>Student_ID</t>
        </is>
      </c>
      <c r="C14" s="2" t="inlineStr">
        <is>
          <t>Identifier linking assessment records to a student.</t>
        </is>
      </c>
      <c r="D14" s="2" t="inlineStr">
        <is>
          <t>Text</t>
        </is>
      </c>
      <c r="E14" s="2" t="inlineStr">
        <is>
          <t>Foreign key</t>
        </is>
      </c>
      <c r="F14" s="2" t="inlineStr">
        <is>
          <t>Should match Student_ID in Students_Clean.</t>
        </is>
      </c>
    </row>
    <row r="15">
      <c r="A15" s="2" t="inlineStr">
        <is>
          <t>Assessments_Clean</t>
        </is>
      </c>
      <c r="B15" s="2" t="inlineStr">
        <is>
          <t>Assessment</t>
        </is>
      </c>
      <c r="C15" s="2" t="inlineStr">
        <is>
          <t>Assessment or assessment category associated with the record.</t>
        </is>
      </c>
      <c r="D15" s="2" t="inlineStr">
        <is>
          <t>Text / categorical</t>
        </is>
      </c>
      <c r="E15" s="2" t="inlineStr">
        <is>
          <t>Assessment attribute</t>
        </is>
      </c>
      <c r="F15" s="2" t="inlineStr">
        <is>
          <t>Used to group assessment results.</t>
        </is>
      </c>
    </row>
    <row r="16" ht="30" customHeight="1" s="27">
      <c r="A16" s="2" t="inlineStr">
        <is>
          <t>Assessments_Clean</t>
        </is>
      </c>
      <c r="B16" s="2" t="inlineStr">
        <is>
          <t>Score</t>
        </is>
      </c>
      <c r="C16" s="2" t="inlineStr">
        <is>
          <t>Numeric result received on the assessment.</t>
        </is>
      </c>
      <c r="D16" s="2" t="inlineStr">
        <is>
          <t>Number</t>
        </is>
      </c>
      <c r="E16" s="2" t="inlineStr">
        <is>
          <t>Assessment measure</t>
        </is>
      </c>
      <c r="F16" s="2" t="inlineStr">
        <is>
          <t>S1001 has a missing score flagged for review; values above 100 are flagged because the scoring scale is not established.</t>
        </is>
      </c>
    </row>
    <row r="17">
      <c r="A17" s="2" t="inlineStr">
        <is>
          <t>Assessments_Clean</t>
        </is>
      </c>
      <c r="B17" s="2" t="inlineStr">
        <is>
          <t>Benchmark</t>
        </is>
      </c>
      <c r="C17" s="2" t="inlineStr">
        <is>
          <t>Benchmark category associated with the assessment result.</t>
        </is>
      </c>
      <c r="D17" s="2" t="inlineStr">
        <is>
          <t>Text / categorical</t>
        </is>
      </c>
      <c r="E17" s="2" t="inlineStr">
        <is>
          <t>Performance category</t>
        </is>
      </c>
      <c r="F17" s="2" t="inlineStr">
        <is>
          <t>Capitalization was standardized where identified (m → M).</t>
        </is>
      </c>
    </row>
    <row r="18">
      <c r="A18" s="2" t="inlineStr">
        <is>
          <t>Assessments_Clean</t>
        </is>
      </c>
      <c r="B18" s="2" t="inlineStr">
        <is>
          <t>Assessment_Date</t>
        </is>
      </c>
      <c r="C18" s="2" t="inlineStr">
        <is>
          <t>Date on which the assessment was administered or recorded.</t>
        </is>
      </c>
      <c r="D18" s="2" t="inlineStr">
        <is>
          <t>Date</t>
        </is>
      </c>
      <c r="E18" s="2" t="inlineStr">
        <is>
          <t>Assessment attribute</t>
        </is>
      </c>
      <c r="F18" s="2" t="inlineStr">
        <is>
          <t>Used for time-based analysis.</t>
        </is>
      </c>
    </row>
    <row r="19">
      <c r="A19" s="2" t="inlineStr">
        <is>
          <t>Discipline_Clean</t>
        </is>
      </c>
      <c r="B19" s="2" t="inlineStr">
        <is>
          <t>Student_ID</t>
        </is>
      </c>
      <c r="C19" s="2" t="inlineStr">
        <is>
          <t>Identifier linking discipline records to a student.</t>
        </is>
      </c>
      <c r="D19" s="2" t="inlineStr">
        <is>
          <t>Text</t>
        </is>
      </c>
      <c r="E19" s="2" t="inlineStr">
        <is>
          <t>Foreign key</t>
        </is>
      </c>
      <c r="F19" s="2" t="inlineStr">
        <is>
          <t>Should match Student_ID in Students_Clean.</t>
        </is>
      </c>
    </row>
    <row r="20" ht="30" customHeight="1" s="27">
      <c r="A20" s="2" t="inlineStr">
        <is>
          <t>Discipline_Clean</t>
        </is>
      </c>
      <c r="B20" s="2" t="inlineStr">
        <is>
          <t>Incidents</t>
        </is>
      </c>
      <c r="C20" s="2" t="inlineStr">
        <is>
          <t>Number of discipline incidents recorded for the student.</t>
        </is>
      </c>
      <c r="D20" s="2" t="inlineStr">
        <is>
          <t>Number</t>
        </is>
      </c>
      <c r="E20" s="2" t="inlineStr">
        <is>
          <t>Discipline measure</t>
        </is>
      </c>
      <c r="F20" s="2" t="inlineStr">
        <is>
          <t>Counts should not be negative; S1012 is flagged because the source value is -2.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B7C9D6"/>
    <outlinePr summaryBelow="1" summaryRight="1"/>
    <pageSetUpPr/>
  </sheetPr>
  <dimension ref="A1:D5"/>
  <sheetViews>
    <sheetView workbookViewId="0">
      <selection activeCell="D5" sqref="D5"/>
    </sheetView>
  </sheetViews>
  <sheetFormatPr baseColWidth="8" defaultRowHeight="15"/>
  <cols>
    <col width="21" customWidth="1" style="27" min="1" max="1"/>
    <col width="34.28515625" customWidth="1" style="27" min="2" max="2"/>
    <col width="42.85546875" customWidth="1" style="27" min="3" max="3"/>
    <col width="37" customWidth="1" style="27" min="4" max="4"/>
  </cols>
  <sheetData>
    <row r="1">
      <c r="A1" s="3" t="inlineStr">
        <is>
          <t>Table</t>
        </is>
      </c>
      <c r="B1" s="3" t="inlineStr">
        <is>
          <t>Role</t>
        </is>
      </c>
      <c r="C1" s="3" t="inlineStr">
        <is>
          <t>Key</t>
        </is>
      </c>
      <c r="D1" s="3" t="inlineStr">
        <is>
          <t>Grain</t>
        </is>
      </c>
    </row>
    <row r="2">
      <c r="A2" t="inlineStr">
        <is>
          <t>Students_Clean</t>
        </is>
      </c>
      <c r="B2" t="inlineStr">
        <is>
          <t>Student dimension/master</t>
        </is>
      </c>
      <c r="C2" t="inlineStr">
        <is>
          <t>Student_ID</t>
        </is>
      </c>
      <c r="D2" t="inlineStr">
        <is>
          <t>One row per student</t>
        </is>
      </c>
    </row>
    <row r="3">
      <c r="A3" t="inlineStr">
        <is>
          <t>Attendance_Clean</t>
        </is>
      </c>
      <c r="B3" t="inlineStr">
        <is>
          <t>Attendance fact</t>
        </is>
      </c>
      <c r="C3" t="inlineStr">
        <is>
          <t>Student_ID</t>
        </is>
      </c>
      <c r="D3" t="inlineStr">
        <is>
          <t>One row per student attendance record</t>
        </is>
      </c>
    </row>
    <row r="4">
      <c r="A4" t="inlineStr">
        <is>
          <t>Assessments_Clean</t>
        </is>
      </c>
      <c r="B4" t="inlineStr">
        <is>
          <t>Assessment fact</t>
        </is>
      </c>
      <c r="C4" t="inlineStr">
        <is>
          <t xml:space="preserve">Student_ID + Assessment + Assessment_Date </t>
        </is>
      </c>
      <c r="D4" t="inlineStr">
        <is>
          <t>One row per assessment</t>
        </is>
      </c>
    </row>
    <row r="5">
      <c r="A5" t="inlineStr">
        <is>
          <t>Discipline_Clean</t>
        </is>
      </c>
      <c r="B5" t="inlineStr">
        <is>
          <t>Discipline fact</t>
        </is>
      </c>
      <c r="C5" t="inlineStr">
        <is>
          <t>Student_ID</t>
        </is>
      </c>
      <c r="D5" t="inlineStr">
        <is>
          <t>One row per student discipline record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B7C9D6"/>
    <outlinePr summaryBelow="1" summaryRight="1"/>
    <pageSetUpPr/>
  </sheetPr>
  <dimension ref="A1:F118"/>
  <sheetViews>
    <sheetView workbookViewId="0">
      <selection activeCell="H4" sqref="H4"/>
    </sheetView>
  </sheetViews>
  <sheetFormatPr baseColWidth="8" defaultRowHeight="15"/>
  <cols>
    <col width="13.5703125" customWidth="1" style="27" min="1" max="1"/>
    <col width="13.42578125" customWidth="1" style="27" min="2" max="2"/>
    <col width="12.140625" customWidth="1" style="27" min="3" max="3"/>
    <col width="19.5703125" customWidth="1" style="27" min="5" max="5"/>
    <col width="20.28515625" customWidth="1" style="27" min="7" max="7"/>
    <col width="15.85546875" customWidth="1" style="27" min="8" max="8"/>
    <col width="21.28515625" customWidth="1" style="27" min="9" max="9"/>
    <col width="13" customWidth="1" style="27" min="10" max="10"/>
    <col width="20.42578125" customWidth="1" style="27" min="11" max="11"/>
  </cols>
  <sheetData>
    <row r="1">
      <c r="A1" s="4" t="inlineStr">
        <is>
          <t>Student_ID</t>
        </is>
      </c>
      <c r="B1" s="4" t="inlineStr">
        <is>
          <t>Last_Name</t>
        </is>
      </c>
      <c r="C1" s="4" t="inlineStr">
        <is>
          <t>Enrollment_Status</t>
        </is>
      </c>
      <c r="D1" s="4" t="inlineStr">
        <is>
          <t>Program</t>
        </is>
      </c>
      <c r="E1" s="4" t="inlineStr">
        <is>
          <t>Enrollment_Date</t>
        </is>
      </c>
      <c r="F1" s="11" t="inlineStr">
        <is>
          <t>Full Name</t>
        </is>
      </c>
    </row>
    <row r="2">
      <c r="A2" s="5" t="inlineStr">
        <is>
          <t>S1000</t>
        </is>
      </c>
      <c r="B2" s="5" t="inlineStr">
        <is>
          <t>Wilson</t>
        </is>
      </c>
      <c r="C2" s="5" t="inlineStr">
        <is>
          <t>Active</t>
        </is>
      </c>
      <c r="D2" s="5" t="inlineStr">
        <is>
          <t>MTSS Tier 2</t>
        </is>
      </c>
      <c r="E2" s="6" t="n">
        <v>45959</v>
      </c>
      <c r="F2" t="inlineStr">
        <is>
          <t>Olivia Wilson</t>
        </is>
      </c>
    </row>
    <row r="3">
      <c r="A3" s="5" t="inlineStr">
        <is>
          <t>S1001</t>
        </is>
      </c>
      <c r="B3" s="5" t="inlineStr">
        <is>
          <t>Brown</t>
        </is>
      </c>
      <c r="C3" s="5" t="inlineStr">
        <is>
          <t>Withdrawn</t>
        </is>
      </c>
      <c r="D3" s="5" t="inlineStr">
        <is>
          <t>MTSS Tier 1</t>
        </is>
      </c>
      <c r="E3" s="6" t="n">
        <v>45920</v>
      </c>
      <c r="F3" t="inlineStr">
        <is>
          <t>Daniel Brown</t>
        </is>
      </c>
    </row>
    <row r="4">
      <c r="A4" s="5" t="inlineStr">
        <is>
          <t>S1002</t>
        </is>
      </c>
      <c r="B4" s="5" t="inlineStr">
        <is>
          <t>Johnson</t>
        </is>
      </c>
      <c r="C4" s="5" t="inlineStr">
        <is>
          <t>Active</t>
        </is>
      </c>
      <c r="D4" s="5" t="inlineStr">
        <is>
          <t>MTSS Tier 1</t>
        </is>
      </c>
      <c r="E4" s="6" t="n">
        <v>45949</v>
      </c>
      <c r="F4" t="inlineStr">
        <is>
          <t>Charlotte Johnson</t>
        </is>
      </c>
    </row>
    <row r="5">
      <c r="A5" s="5" t="inlineStr">
        <is>
          <t>S1003</t>
        </is>
      </c>
      <c r="B5" s="5" t="inlineStr">
        <is>
          <t>Johnson</t>
        </is>
      </c>
      <c r="C5" s="5" t="inlineStr">
        <is>
          <t>Active</t>
        </is>
      </c>
      <c r="D5" s="5" t="inlineStr">
        <is>
          <t>Core</t>
        </is>
      </c>
      <c r="E5" s="6" t="n">
        <v>45951</v>
      </c>
      <c r="F5" t="inlineStr">
        <is>
          <t>Isabella Johnson</t>
        </is>
      </c>
    </row>
    <row r="6">
      <c r="A6" s="5" t="inlineStr">
        <is>
          <t>S1006</t>
        </is>
      </c>
      <c r="B6" s="5" t="inlineStr">
        <is>
          <t>Wilson</t>
        </is>
      </c>
      <c r="C6" s="5" t="inlineStr">
        <is>
          <t>Withdrawn</t>
        </is>
      </c>
      <c r="D6" s="5" t="inlineStr">
        <is>
          <t>MTSS Tier 1</t>
        </is>
      </c>
      <c r="E6" s="6" t="n">
        <v>45933</v>
      </c>
      <c r="F6" t="inlineStr">
        <is>
          <t>Ella Wilson</t>
        </is>
      </c>
    </row>
    <row r="7">
      <c r="A7" s="5" t="inlineStr">
        <is>
          <t>S1007</t>
        </is>
      </c>
      <c r="B7" s="5" t="inlineStr">
        <is>
          <t>Anderson</t>
        </is>
      </c>
      <c r="C7" s="5" t="inlineStr">
        <is>
          <t>Active</t>
        </is>
      </c>
      <c r="D7" s="5" t="inlineStr">
        <is>
          <t>MTSS Tier 2</t>
        </is>
      </c>
      <c r="E7" s="6" t="n">
        <v>45903</v>
      </c>
      <c r="F7" t="inlineStr">
        <is>
          <t>Isabella Anderson</t>
        </is>
      </c>
    </row>
    <row r="8">
      <c r="A8" s="5" t="inlineStr">
        <is>
          <t>S1008</t>
        </is>
      </c>
      <c r="B8" s="5" t="inlineStr">
        <is>
          <t>Johnson</t>
        </is>
      </c>
      <c r="C8" s="5" t="inlineStr">
        <is>
          <t>Active</t>
        </is>
      </c>
      <c r="D8" s="5" t="inlineStr">
        <is>
          <t>MTSS Tier 1</t>
        </is>
      </c>
      <c r="E8" s="6" t="n">
        <v>45956</v>
      </c>
      <c r="F8" t="inlineStr">
        <is>
          <t>Isabella Johnson</t>
        </is>
      </c>
    </row>
    <row r="9">
      <c r="A9" s="5" t="inlineStr">
        <is>
          <t>S1009</t>
        </is>
      </c>
      <c r="B9" s="5" t="inlineStr">
        <is>
          <t>Wilson</t>
        </is>
      </c>
      <c r="C9" s="5" t="inlineStr">
        <is>
          <t>Active</t>
        </is>
      </c>
      <c r="D9" s="5" t="inlineStr">
        <is>
          <t>Core</t>
        </is>
      </c>
      <c r="E9" s="6" t="n">
        <v>45905</v>
      </c>
      <c r="F9" t="inlineStr">
        <is>
          <t>Noah Wilson</t>
        </is>
      </c>
    </row>
    <row r="10">
      <c r="A10" s="5" t="inlineStr">
        <is>
          <t>S1010</t>
        </is>
      </c>
      <c r="B10" s="5" t="inlineStr">
        <is>
          <t>Anderson</t>
        </is>
      </c>
      <c r="C10" s="5" t="inlineStr">
        <is>
          <t>Withdrawn</t>
        </is>
      </c>
      <c r="D10" s="5" t="inlineStr">
        <is>
          <t>Core</t>
        </is>
      </c>
      <c r="E10" s="6" t="n">
        <v>45918</v>
      </c>
      <c r="F10" t="inlineStr">
        <is>
          <t>Lucas Anderson</t>
        </is>
      </c>
    </row>
    <row r="11">
      <c r="A11" s="5" t="inlineStr">
        <is>
          <t>S1012</t>
        </is>
      </c>
      <c r="B11" s="5" t="inlineStr">
        <is>
          <t>Patel</t>
        </is>
      </c>
      <c r="C11" s="5" t="inlineStr">
        <is>
          <t>Active</t>
        </is>
      </c>
      <c r="D11" s="5" t="inlineStr">
        <is>
          <t>Core</t>
        </is>
      </c>
      <c r="E11" s="6" t="n">
        <v>45977</v>
      </c>
      <c r="F11" t="inlineStr">
        <is>
          <t>Liam Patel</t>
        </is>
      </c>
    </row>
    <row r="12">
      <c r="A12" s="5" t="inlineStr">
        <is>
          <t>S1013</t>
        </is>
      </c>
      <c r="B12" s="5" t="inlineStr">
        <is>
          <t>Thomas</t>
        </is>
      </c>
      <c r="C12" s="5" t="inlineStr">
        <is>
          <t>Active</t>
        </is>
      </c>
      <c r="D12" s="5" t="inlineStr">
        <is>
          <t>Core</t>
        </is>
      </c>
      <c r="E12" s="6" t="n">
        <v>45914</v>
      </c>
      <c r="F12" t="inlineStr">
        <is>
          <t>James Thomas</t>
        </is>
      </c>
    </row>
    <row r="13">
      <c r="A13" s="5" t="inlineStr">
        <is>
          <t>S1014</t>
        </is>
      </c>
      <c r="B13" s="5" t="inlineStr">
        <is>
          <t>Smith</t>
        </is>
      </c>
      <c r="C13" s="5" t="inlineStr">
        <is>
          <t>Active</t>
        </is>
      </c>
      <c r="D13" s="5" t="inlineStr">
        <is>
          <t>MTSS Tier 1</t>
        </is>
      </c>
      <c r="E13" s="6" t="n">
        <v>45976</v>
      </c>
      <c r="F13" t="inlineStr">
        <is>
          <t>Ethan Smith</t>
        </is>
      </c>
    </row>
    <row r="14">
      <c r="A14" s="5" t="inlineStr">
        <is>
          <t>S1015</t>
        </is>
      </c>
      <c r="B14" s="5" t="inlineStr">
        <is>
          <t>Taylor</t>
        </is>
      </c>
      <c r="C14" s="5" t="inlineStr">
        <is>
          <t>Active</t>
        </is>
      </c>
      <c r="D14" s="5" t="inlineStr">
        <is>
          <t>Core</t>
        </is>
      </c>
      <c r="E14" s="6" t="n">
        <v>45918</v>
      </c>
      <c r="F14" t="inlineStr">
        <is>
          <t>Liam Taylor</t>
        </is>
      </c>
    </row>
    <row r="15">
      <c r="A15" s="5" t="inlineStr">
        <is>
          <t>S1016</t>
        </is>
      </c>
      <c r="B15" s="5" t="inlineStr">
        <is>
          <t>Miller</t>
        </is>
      </c>
      <c r="C15" s="5" t="inlineStr">
        <is>
          <t>Active</t>
        </is>
      </c>
      <c r="D15" s="5" t="inlineStr">
        <is>
          <t>MTSS Tier 1</t>
        </is>
      </c>
      <c r="E15" s="6" t="n">
        <v>45974</v>
      </c>
      <c r="F15" t="inlineStr">
        <is>
          <t>Ava Miller</t>
        </is>
      </c>
    </row>
    <row r="16">
      <c r="A16" s="5" t="inlineStr">
        <is>
          <t>S1017</t>
        </is>
      </c>
      <c r="B16" s="5" t="inlineStr">
        <is>
          <t>Lee</t>
        </is>
      </c>
      <c r="C16" s="5" t="inlineStr">
        <is>
          <t>Active</t>
        </is>
      </c>
      <c r="D16" s="5" t="inlineStr">
        <is>
          <t>Core</t>
        </is>
      </c>
      <c r="E16" s="6" t="n">
        <v>45978</v>
      </c>
      <c r="F16" t="inlineStr">
        <is>
          <t>James Lee</t>
        </is>
      </c>
    </row>
    <row r="17">
      <c r="A17" s="5" t="inlineStr">
        <is>
          <t>S1018</t>
        </is>
      </c>
      <c r="B17" s="5" t="inlineStr">
        <is>
          <t>Patel</t>
        </is>
      </c>
      <c r="C17" s="5" t="inlineStr">
        <is>
          <t>Active</t>
        </is>
      </c>
      <c r="D17" s="5" t="inlineStr">
        <is>
          <t>MTSS Tier 1</t>
        </is>
      </c>
      <c r="E17" s="6" t="n">
        <v>45926</v>
      </c>
      <c r="F17" t="inlineStr">
        <is>
          <t>James Patel</t>
        </is>
      </c>
    </row>
    <row r="18">
      <c r="A18" s="5" t="inlineStr">
        <is>
          <t>S1019</t>
        </is>
      </c>
      <c r="B18" s="5" t="inlineStr">
        <is>
          <t>Thomas</t>
        </is>
      </c>
      <c r="C18" s="5" t="inlineStr">
        <is>
          <t>Active</t>
        </is>
      </c>
      <c r="D18" s="5" t="inlineStr">
        <is>
          <t>Core</t>
        </is>
      </c>
      <c r="E18" s="6" t="n">
        <v>45930</v>
      </c>
      <c r="F18" t="inlineStr">
        <is>
          <t>Harper Thomas</t>
        </is>
      </c>
    </row>
    <row r="19">
      <c r="A19" s="5" t="inlineStr">
        <is>
          <t>S1020</t>
        </is>
      </c>
      <c r="B19" s="5" t="inlineStr">
        <is>
          <t>Thomas</t>
        </is>
      </c>
      <c r="C19" s="5" t="inlineStr">
        <is>
          <t>Active</t>
        </is>
      </c>
      <c r="D19" s="5" t="inlineStr">
        <is>
          <t>Core</t>
        </is>
      </c>
      <c r="E19" s="6" t="n">
        <v>45910</v>
      </c>
      <c r="F19" t="inlineStr">
        <is>
          <t>Mason Thomas</t>
        </is>
      </c>
    </row>
    <row r="20">
      <c r="A20" s="5" t="inlineStr">
        <is>
          <t>S1021</t>
        </is>
      </c>
      <c r="B20" s="5" t="inlineStr">
        <is>
          <t>Thomas</t>
        </is>
      </c>
      <c r="C20" s="5" t="inlineStr">
        <is>
          <t>Active</t>
        </is>
      </c>
      <c r="D20" s="5" t="inlineStr">
        <is>
          <t>Core</t>
        </is>
      </c>
      <c r="E20" s="6" t="n">
        <v>45938</v>
      </c>
      <c r="F20" t="inlineStr">
        <is>
          <t>Leo Thomas</t>
        </is>
      </c>
    </row>
    <row r="21">
      <c r="A21" s="5" t="inlineStr">
        <is>
          <t>S1022</t>
        </is>
      </c>
      <c r="B21" s="5" t="inlineStr">
        <is>
          <t>Thomas</t>
        </is>
      </c>
      <c r="C21" s="5" t="inlineStr">
        <is>
          <t>Active</t>
        </is>
      </c>
      <c r="D21" s="5" t="inlineStr">
        <is>
          <t>MTSS Tier 1</t>
        </is>
      </c>
      <c r="E21" s="6" t="n">
        <v>45910</v>
      </c>
      <c r="F21" t="inlineStr">
        <is>
          <t>Charlotte Thomas</t>
        </is>
      </c>
    </row>
    <row r="22">
      <c r="A22" s="5" t="inlineStr">
        <is>
          <t>S1023</t>
        </is>
      </c>
      <c r="B22" s="5" t="inlineStr">
        <is>
          <t>Johnson</t>
        </is>
      </c>
      <c r="C22" s="5" t="inlineStr">
        <is>
          <t>Active</t>
        </is>
      </c>
      <c r="D22" s="5" t="inlineStr">
        <is>
          <t>Core</t>
        </is>
      </c>
      <c r="E22" s="6" t="n">
        <v>45960</v>
      </c>
      <c r="F22" t="inlineStr">
        <is>
          <t>Charlotte Johnson</t>
        </is>
      </c>
    </row>
    <row r="23">
      <c r="A23" s="5" t="inlineStr">
        <is>
          <t>S1024</t>
        </is>
      </c>
      <c r="B23" s="5" t="inlineStr">
        <is>
          <t>Anderson</t>
        </is>
      </c>
      <c r="C23" s="5" t="inlineStr">
        <is>
          <t>Active</t>
        </is>
      </c>
      <c r="D23" s="5" t="inlineStr">
        <is>
          <t>MTSS Tier 3</t>
        </is>
      </c>
      <c r="E23" s="6" t="n">
        <v>45962</v>
      </c>
      <c r="F23" t="inlineStr">
        <is>
          <t>Ella Anderson</t>
        </is>
      </c>
    </row>
    <row r="24">
      <c r="A24" s="5" t="inlineStr">
        <is>
          <t>S1025</t>
        </is>
      </c>
      <c r="B24" s="5" t="inlineStr">
        <is>
          <t>Taylor</t>
        </is>
      </c>
      <c r="C24" s="5" t="inlineStr">
        <is>
          <t>Active</t>
        </is>
      </c>
      <c r="D24" s="5" t="inlineStr">
        <is>
          <t>MTSS tier 2</t>
        </is>
      </c>
      <c r="E24" s="6" t="n">
        <v>45952</v>
      </c>
      <c r="F24" t="inlineStr">
        <is>
          <t>James Taylor</t>
        </is>
      </c>
    </row>
    <row r="25">
      <c r="A25" s="5" t="inlineStr">
        <is>
          <t>S1026</t>
        </is>
      </c>
      <c r="B25" s="5" t="inlineStr">
        <is>
          <t>Wilson</t>
        </is>
      </c>
      <c r="C25" s="5" t="inlineStr">
        <is>
          <t>Active</t>
        </is>
      </c>
      <c r="D25" s="5" t="inlineStr">
        <is>
          <t>Core</t>
        </is>
      </c>
      <c r="E25" s="6" t="n">
        <v>45930</v>
      </c>
      <c r="F25" t="inlineStr">
        <is>
          <t>Daniel Wilson</t>
        </is>
      </c>
    </row>
    <row r="26">
      <c r="A26" s="5" t="inlineStr">
        <is>
          <t>S1027</t>
        </is>
      </c>
      <c r="B26" s="5" t="inlineStr">
        <is>
          <t>Thomas</t>
        </is>
      </c>
      <c r="C26" s="5" t="inlineStr">
        <is>
          <t>Active</t>
        </is>
      </c>
      <c r="D26" s="5" t="inlineStr">
        <is>
          <t>MTSS Tier 3</t>
        </is>
      </c>
      <c r="E26" s="6" t="n">
        <v>45943</v>
      </c>
      <c r="F26" t="inlineStr">
        <is>
          <t>Mia Thomas</t>
        </is>
      </c>
    </row>
    <row r="27">
      <c r="A27" s="5" t="inlineStr">
        <is>
          <t>S1028</t>
        </is>
      </c>
      <c r="B27" s="5" t="inlineStr">
        <is>
          <t>Miller</t>
        </is>
      </c>
      <c r="C27" s="5" t="inlineStr">
        <is>
          <t>Active</t>
        </is>
      </c>
      <c r="D27" s="5" t="inlineStr">
        <is>
          <t>Core</t>
        </is>
      </c>
      <c r="E27" s="6" t="n">
        <v>45966</v>
      </c>
      <c r="F27" t="inlineStr">
        <is>
          <t>Emma Miller</t>
        </is>
      </c>
    </row>
    <row r="28">
      <c r="A28" s="5" t="inlineStr">
        <is>
          <t>S1029</t>
        </is>
      </c>
      <c r="B28" s="5" t="inlineStr">
        <is>
          <t>Wilson</t>
        </is>
      </c>
      <c r="C28" s="5" t="inlineStr">
        <is>
          <t>Active</t>
        </is>
      </c>
      <c r="D28" s="5" t="inlineStr">
        <is>
          <t>Core</t>
        </is>
      </c>
      <c r="E28" s="6" t="n">
        <v>45929</v>
      </c>
      <c r="F28" t="inlineStr">
        <is>
          <t>Ella Wilson</t>
        </is>
      </c>
    </row>
    <row r="29">
      <c r="A29" s="5" t="inlineStr">
        <is>
          <t>S1030</t>
        </is>
      </c>
      <c r="B29" s="5" t="inlineStr">
        <is>
          <t>Brown</t>
        </is>
      </c>
      <c r="C29" s="5" t="inlineStr">
        <is>
          <t>Active</t>
        </is>
      </c>
      <c r="D29" s="5" t="inlineStr">
        <is>
          <t>MTSS Tier 1</t>
        </is>
      </c>
      <c r="E29" s="6" t="n">
        <v>45965</v>
      </c>
      <c r="F29" t="inlineStr">
        <is>
          <t>Olivia Brown</t>
        </is>
      </c>
    </row>
    <row r="30">
      <c r="A30" s="5" t="inlineStr">
        <is>
          <t>S1031</t>
        </is>
      </c>
      <c r="B30" s="5" t="inlineStr">
        <is>
          <t>Brown</t>
        </is>
      </c>
      <c r="C30" s="5" t="inlineStr">
        <is>
          <t>Active</t>
        </is>
      </c>
      <c r="D30" s="5" t="inlineStr">
        <is>
          <t>MTSS Tier 1</t>
        </is>
      </c>
      <c r="E30" s="6" t="n">
        <v>45919</v>
      </c>
      <c r="F30" t="inlineStr">
        <is>
          <t>Sophia Brown</t>
        </is>
      </c>
    </row>
    <row r="31">
      <c r="A31" s="5" t="inlineStr">
        <is>
          <t>S1032</t>
        </is>
      </c>
      <c r="B31" s="5" t="inlineStr">
        <is>
          <t>Miller</t>
        </is>
      </c>
      <c r="C31" s="5" t="inlineStr">
        <is>
          <t>Active</t>
        </is>
      </c>
      <c r="D31" s="5" t="inlineStr">
        <is>
          <t>MTSS Tier 1</t>
        </is>
      </c>
      <c r="E31" s="6" t="n">
        <v>45975</v>
      </c>
      <c r="F31" t="inlineStr">
        <is>
          <t>Olivia Miller</t>
        </is>
      </c>
    </row>
    <row r="32">
      <c r="A32" s="5" t="inlineStr">
        <is>
          <t>S1033</t>
        </is>
      </c>
      <c r="B32" s="5" t="inlineStr">
        <is>
          <t>Anderson</t>
        </is>
      </c>
      <c r="C32" s="5" t="inlineStr">
        <is>
          <t>Active</t>
        </is>
      </c>
      <c r="D32" s="5" t="inlineStr">
        <is>
          <t>Core</t>
        </is>
      </c>
      <c r="E32" s="6" t="n">
        <v>45935</v>
      </c>
      <c r="F32" t="inlineStr">
        <is>
          <t>Jack Anderson</t>
        </is>
      </c>
    </row>
    <row r="33">
      <c r="A33" s="5" t="inlineStr">
        <is>
          <t>S1034</t>
        </is>
      </c>
      <c r="B33" s="5" t="inlineStr">
        <is>
          <t>Miller</t>
        </is>
      </c>
      <c r="C33" s="5" t="inlineStr">
        <is>
          <t>Active</t>
        </is>
      </c>
      <c r="D33" s="5" t="inlineStr">
        <is>
          <t>Core</t>
        </is>
      </c>
      <c r="E33" s="6" t="n">
        <v>45979</v>
      </c>
      <c r="F33" t="inlineStr">
        <is>
          <t>Noah Miller</t>
        </is>
      </c>
    </row>
    <row r="34">
      <c r="A34" s="5" t="inlineStr">
        <is>
          <t>S1035</t>
        </is>
      </c>
      <c r="B34" s="5" t="inlineStr">
        <is>
          <t>Johnson</t>
        </is>
      </c>
      <c r="C34" s="5" t="inlineStr">
        <is>
          <t>Active</t>
        </is>
      </c>
      <c r="D34" s="5" t="inlineStr">
        <is>
          <t>MTSS Tier 1</t>
        </is>
      </c>
      <c r="E34" s="6" t="n">
        <v>45931</v>
      </c>
      <c r="F34" t="inlineStr">
        <is>
          <t>Henry Johnson</t>
        </is>
      </c>
    </row>
    <row r="35">
      <c r="A35" s="5" t="inlineStr">
        <is>
          <t>S1036</t>
        </is>
      </c>
      <c r="B35" s="5" t="inlineStr">
        <is>
          <t>Miller</t>
        </is>
      </c>
      <c r="C35" s="5" t="inlineStr">
        <is>
          <t>Active</t>
        </is>
      </c>
      <c r="D35" s="5" t="inlineStr">
        <is>
          <t>MTSS Tier 2</t>
        </is>
      </c>
      <c r="E35" s="6" t="n">
        <v>45915</v>
      </c>
      <c r="F35" t="inlineStr">
        <is>
          <t>Jack Miller</t>
        </is>
      </c>
    </row>
    <row r="36">
      <c r="A36" s="5" t="inlineStr">
        <is>
          <t>S1037</t>
        </is>
      </c>
      <c r="B36" s="5" t="inlineStr">
        <is>
          <t>Garcia</t>
        </is>
      </c>
      <c r="C36" s="5" t="inlineStr">
        <is>
          <t>Active</t>
        </is>
      </c>
      <c r="D36" s="5" t="inlineStr">
        <is>
          <t>MTSS Tier 1</t>
        </is>
      </c>
      <c r="E36" s="6" t="n">
        <v>45948</v>
      </c>
      <c r="F36" t="inlineStr">
        <is>
          <t>Sophia Garcia</t>
        </is>
      </c>
    </row>
    <row r="37">
      <c r="A37" s="5" t="inlineStr">
        <is>
          <t>S1038</t>
        </is>
      </c>
      <c r="B37" s="5" t="inlineStr">
        <is>
          <t>Wilson</t>
        </is>
      </c>
      <c r="C37" s="5" t="inlineStr">
        <is>
          <t>Active</t>
        </is>
      </c>
      <c r="D37" s="5" t="inlineStr">
        <is>
          <t>Core</t>
        </is>
      </c>
      <c r="E37" s="6" t="n">
        <v>45937</v>
      </c>
      <c r="F37" t="inlineStr">
        <is>
          <t>Liam Wilson</t>
        </is>
      </c>
    </row>
    <row r="38">
      <c r="A38" s="5" t="inlineStr">
        <is>
          <t>S1039</t>
        </is>
      </c>
      <c r="B38" s="5" t="inlineStr">
        <is>
          <t>Patel</t>
        </is>
      </c>
      <c r="C38" s="5" t="inlineStr">
        <is>
          <t>Active</t>
        </is>
      </c>
      <c r="D38" s="5" t="inlineStr">
        <is>
          <t>MTSS Tier 1</t>
        </is>
      </c>
      <c r="E38" s="6" t="n">
        <v>45908</v>
      </c>
      <c r="F38" t="inlineStr">
        <is>
          <t>Daniel Patel</t>
        </is>
      </c>
    </row>
    <row r="39">
      <c r="A39" s="5" t="inlineStr">
        <is>
          <t>S1040</t>
        </is>
      </c>
      <c r="B39" s="5" t="inlineStr">
        <is>
          <t>Davis</t>
        </is>
      </c>
      <c r="C39" s="5" t="inlineStr">
        <is>
          <t>Active</t>
        </is>
      </c>
      <c r="D39" s="5" t="inlineStr">
        <is>
          <t>MTSS Tier 1</t>
        </is>
      </c>
      <c r="E39" s="6" t="n">
        <v>45971</v>
      </c>
      <c r="F39" t="inlineStr">
        <is>
          <t>Charlotte Davis</t>
        </is>
      </c>
    </row>
    <row r="40">
      <c r="A40" s="5" t="inlineStr">
        <is>
          <t>S1041</t>
        </is>
      </c>
      <c r="B40" s="5" t="inlineStr">
        <is>
          <t>Anderson</t>
        </is>
      </c>
      <c r="C40" s="5" t="inlineStr">
        <is>
          <t>Active</t>
        </is>
      </c>
      <c r="D40" s="5" t="inlineStr">
        <is>
          <t>Core</t>
        </is>
      </c>
      <c r="E40" s="6" t="n">
        <v>45949</v>
      </c>
      <c r="F40" t="inlineStr">
        <is>
          <t>Olivia Anderson</t>
        </is>
      </c>
    </row>
    <row r="41">
      <c r="A41" s="5" t="inlineStr">
        <is>
          <t>S1042</t>
        </is>
      </c>
      <c r="B41" s="5" t="inlineStr">
        <is>
          <t>Miller</t>
        </is>
      </c>
      <c r="C41" s="5" t="inlineStr">
        <is>
          <t>Active</t>
        </is>
      </c>
      <c r="D41" s="5" t="inlineStr">
        <is>
          <t>Core</t>
        </is>
      </c>
      <c r="E41" s="6" t="n">
        <v>45927</v>
      </c>
      <c r="F41" t="inlineStr">
        <is>
          <t>James Miller</t>
        </is>
      </c>
    </row>
    <row r="42">
      <c r="A42" s="5" t="inlineStr">
        <is>
          <t>S1043</t>
        </is>
      </c>
      <c r="B42" s="5" t="inlineStr">
        <is>
          <t>Lee</t>
        </is>
      </c>
      <c r="C42" s="5" t="inlineStr">
        <is>
          <t>Active</t>
        </is>
      </c>
      <c r="D42" s="5" t="inlineStr">
        <is>
          <t>Core</t>
        </is>
      </c>
      <c r="E42" s="6" t="n">
        <v>45968</v>
      </c>
      <c r="F42" t="inlineStr">
        <is>
          <t>Lucas Lee</t>
        </is>
      </c>
    </row>
    <row r="43">
      <c r="A43" s="5" t="inlineStr">
        <is>
          <t>S1044</t>
        </is>
      </c>
      <c r="B43" s="5" t="inlineStr">
        <is>
          <t>Brown</t>
        </is>
      </c>
      <c r="C43" s="5" t="inlineStr">
        <is>
          <t>Active</t>
        </is>
      </c>
      <c r="D43" s="5" t="inlineStr">
        <is>
          <t>Core</t>
        </is>
      </c>
      <c r="E43" s="6" t="n">
        <v>45912</v>
      </c>
      <c r="F43" t="inlineStr">
        <is>
          <t>Charlotte Brown</t>
        </is>
      </c>
    </row>
    <row r="44">
      <c r="A44" s="5" t="inlineStr">
        <is>
          <t>S1045</t>
        </is>
      </c>
      <c r="B44" s="5" t="inlineStr">
        <is>
          <t>Garcia</t>
        </is>
      </c>
      <c r="C44" s="5" t="inlineStr">
        <is>
          <t>Active</t>
        </is>
      </c>
      <c r="D44" s="5" t="inlineStr">
        <is>
          <t>Core</t>
        </is>
      </c>
      <c r="E44" s="6" t="n">
        <v>45958</v>
      </c>
      <c r="F44" t="inlineStr">
        <is>
          <t>Mia Garcia</t>
        </is>
      </c>
    </row>
    <row r="45">
      <c r="A45" s="5" t="inlineStr">
        <is>
          <t>S1046</t>
        </is>
      </c>
      <c r="B45" s="5" t="inlineStr">
        <is>
          <t>Taylor</t>
        </is>
      </c>
      <c r="C45" s="5" t="inlineStr">
        <is>
          <t>Active</t>
        </is>
      </c>
      <c r="D45" s="5" t="inlineStr">
        <is>
          <t>Core</t>
        </is>
      </c>
      <c r="E45" s="6" t="n">
        <v>45932</v>
      </c>
      <c r="F45" t="inlineStr">
        <is>
          <t>Henry Taylor</t>
        </is>
      </c>
    </row>
    <row r="46">
      <c r="A46" s="5" t="inlineStr">
        <is>
          <t>S1047</t>
        </is>
      </c>
      <c r="B46" s="5" t="inlineStr">
        <is>
          <t>Thomas</t>
        </is>
      </c>
      <c r="C46" s="5" t="inlineStr">
        <is>
          <t>Active</t>
        </is>
      </c>
      <c r="D46" s="5" t="inlineStr">
        <is>
          <t>Core</t>
        </is>
      </c>
      <c r="E46" s="6" t="n">
        <v>45907</v>
      </c>
      <c r="F46" t="inlineStr">
        <is>
          <t>Harper Thomas</t>
        </is>
      </c>
    </row>
    <row r="47">
      <c r="A47" s="5" t="inlineStr">
        <is>
          <t>S1048</t>
        </is>
      </c>
      <c r="B47" s="5" t="inlineStr">
        <is>
          <t>Davis</t>
        </is>
      </c>
      <c r="C47" s="5" t="inlineStr">
        <is>
          <t>Active</t>
        </is>
      </c>
      <c r="D47" s="5" t="inlineStr">
        <is>
          <t>Core</t>
        </is>
      </c>
      <c r="E47" s="6" t="n">
        <v>45935</v>
      </c>
      <c r="F47" t="inlineStr">
        <is>
          <t>Noah Davis</t>
        </is>
      </c>
    </row>
    <row r="48">
      <c r="A48" s="5" t="inlineStr">
        <is>
          <t>S1049</t>
        </is>
      </c>
      <c r="B48" s="5" t="inlineStr">
        <is>
          <t>Anderson</t>
        </is>
      </c>
      <c r="C48" s="5" t="inlineStr">
        <is>
          <t>Withdrawn</t>
        </is>
      </c>
      <c r="D48" s="5" t="inlineStr">
        <is>
          <t>MTSS Tier 3</t>
        </is>
      </c>
      <c r="E48" s="6" t="n">
        <v>45967</v>
      </c>
      <c r="F48" t="inlineStr">
        <is>
          <t>Jack Anderson</t>
        </is>
      </c>
    </row>
    <row r="49">
      <c r="A49" s="5" t="inlineStr">
        <is>
          <t>S1050</t>
        </is>
      </c>
      <c r="B49" s="5" t="inlineStr">
        <is>
          <t>Patel</t>
        </is>
      </c>
      <c r="C49" s="5" t="inlineStr">
        <is>
          <t>Active</t>
        </is>
      </c>
      <c r="D49" s="5" t="inlineStr">
        <is>
          <t>MTSS Tier 2</t>
        </is>
      </c>
      <c r="E49" s="6" t="n">
        <v>45920</v>
      </c>
      <c r="F49" t="inlineStr">
        <is>
          <t>Lucas Patel</t>
        </is>
      </c>
    </row>
    <row r="50">
      <c r="A50" s="5" t="inlineStr">
        <is>
          <t>S1051</t>
        </is>
      </c>
      <c r="B50" s="5" t="inlineStr">
        <is>
          <t>Davis</t>
        </is>
      </c>
      <c r="C50" s="5" t="inlineStr">
        <is>
          <t>Active</t>
        </is>
      </c>
      <c r="D50" s="5" t="inlineStr">
        <is>
          <t>Core</t>
        </is>
      </c>
      <c r="E50" s="6" t="n">
        <v>45951</v>
      </c>
      <c r="F50" t="inlineStr">
        <is>
          <t>Noah Davis</t>
        </is>
      </c>
    </row>
    <row r="51">
      <c r="A51" s="5" t="inlineStr">
        <is>
          <t>S1052</t>
        </is>
      </c>
      <c r="B51" s="5" t="inlineStr">
        <is>
          <t>Miller</t>
        </is>
      </c>
      <c r="C51" s="5" t="inlineStr">
        <is>
          <t>Active</t>
        </is>
      </c>
      <c r="D51" s="5" t="inlineStr">
        <is>
          <t>MTSS Tier 3</t>
        </is>
      </c>
      <c r="E51" s="6" t="n">
        <v>45913</v>
      </c>
      <c r="F51" t="inlineStr">
        <is>
          <t>Liam Miller</t>
        </is>
      </c>
    </row>
    <row r="52">
      <c r="A52" s="5" t="inlineStr">
        <is>
          <t>S1053</t>
        </is>
      </c>
      <c r="B52" s="5" t="inlineStr">
        <is>
          <t>Johnson</t>
        </is>
      </c>
      <c r="C52" s="5" t="inlineStr">
        <is>
          <t>Active</t>
        </is>
      </c>
      <c r="D52" s="5" t="inlineStr">
        <is>
          <t>MTSS Tier 1</t>
        </is>
      </c>
      <c r="E52" s="6" t="n">
        <v>45928</v>
      </c>
      <c r="F52" t="inlineStr">
        <is>
          <t>Ethan Johnson</t>
        </is>
      </c>
    </row>
    <row r="53">
      <c r="A53" s="5" t="inlineStr">
        <is>
          <t>S1054</t>
        </is>
      </c>
      <c r="B53" s="5" t="inlineStr">
        <is>
          <t>Brown</t>
        </is>
      </c>
      <c r="C53" s="5" t="inlineStr">
        <is>
          <t>Active</t>
        </is>
      </c>
      <c r="D53" s="5" t="inlineStr">
        <is>
          <t>Core</t>
        </is>
      </c>
      <c r="E53" s="6" t="n">
        <v>45965</v>
      </c>
      <c r="F53" t="inlineStr">
        <is>
          <t>Mason Brown</t>
        </is>
      </c>
    </row>
    <row r="54">
      <c r="A54" s="5" t="inlineStr">
        <is>
          <t>S1055</t>
        </is>
      </c>
      <c r="B54" s="5" t="inlineStr">
        <is>
          <t>Brown</t>
        </is>
      </c>
      <c r="C54" s="5" t="inlineStr">
        <is>
          <t>Active</t>
        </is>
      </c>
      <c r="D54" s="5" t="inlineStr">
        <is>
          <t>Core</t>
        </is>
      </c>
      <c r="E54" s="6" t="n">
        <v>45961</v>
      </c>
      <c r="F54" t="inlineStr">
        <is>
          <t>Noah Brown</t>
        </is>
      </c>
    </row>
    <row r="55">
      <c r="A55" s="5" t="inlineStr">
        <is>
          <t>S1056</t>
        </is>
      </c>
      <c r="B55" s="5" t="inlineStr">
        <is>
          <t>Taylor</t>
        </is>
      </c>
      <c r="C55" s="5" t="inlineStr">
        <is>
          <t>Active</t>
        </is>
      </c>
      <c r="D55" s="5" t="inlineStr">
        <is>
          <t>Core</t>
        </is>
      </c>
      <c r="E55" s="6" t="n">
        <v>45929</v>
      </c>
      <c r="F55" t="inlineStr">
        <is>
          <t>Jack Taylor</t>
        </is>
      </c>
    </row>
    <row r="56">
      <c r="A56" s="5" t="inlineStr">
        <is>
          <t>S1057</t>
        </is>
      </c>
      <c r="B56" s="5" t="inlineStr">
        <is>
          <t>Johnson</t>
        </is>
      </c>
      <c r="C56" s="5" t="inlineStr">
        <is>
          <t>Active</t>
        </is>
      </c>
      <c r="D56" s="5" t="inlineStr">
        <is>
          <t>Core</t>
        </is>
      </c>
      <c r="E56" s="6" t="n">
        <v>45951</v>
      </c>
      <c r="F56" t="inlineStr">
        <is>
          <t>James Johnson</t>
        </is>
      </c>
    </row>
    <row r="57">
      <c r="A57" s="5" t="inlineStr">
        <is>
          <t>S1058</t>
        </is>
      </c>
      <c r="B57" s="5" t="inlineStr">
        <is>
          <t>Thomas</t>
        </is>
      </c>
      <c r="C57" s="5" t="inlineStr">
        <is>
          <t>Active</t>
        </is>
      </c>
      <c r="D57" s="5" t="inlineStr">
        <is>
          <t>MTSS Tier 1</t>
        </is>
      </c>
      <c r="E57" s="6" t="n">
        <v>45979</v>
      </c>
      <c r="F57" t="inlineStr">
        <is>
          <t>Liam Thomas</t>
        </is>
      </c>
    </row>
    <row r="58">
      <c r="A58" s="5" t="inlineStr">
        <is>
          <t>S1059</t>
        </is>
      </c>
      <c r="B58" s="5" t="inlineStr">
        <is>
          <t>Wilson</t>
        </is>
      </c>
      <c r="C58" s="5" t="inlineStr">
        <is>
          <t>Withdrawn</t>
        </is>
      </c>
      <c r="D58" s="5" t="inlineStr">
        <is>
          <t>MTSS Tier 1</t>
        </is>
      </c>
      <c r="E58" s="6" t="n">
        <v>45935</v>
      </c>
      <c r="F58" t="inlineStr">
        <is>
          <t>Mason Wilson</t>
        </is>
      </c>
    </row>
    <row r="59">
      <c r="A59" s="5" t="inlineStr">
        <is>
          <t>S1060</t>
        </is>
      </c>
      <c r="B59" s="5" t="inlineStr">
        <is>
          <t>Smith</t>
        </is>
      </c>
      <c r="C59" s="5" t="inlineStr">
        <is>
          <t>Active</t>
        </is>
      </c>
      <c r="D59" s="5" t="inlineStr">
        <is>
          <t>Core</t>
        </is>
      </c>
      <c r="E59" s="6" t="n">
        <v>45903</v>
      </c>
      <c r="F59" t="inlineStr">
        <is>
          <t>Noah Smith</t>
        </is>
      </c>
    </row>
    <row r="60">
      <c r="A60" s="5" t="inlineStr">
        <is>
          <t>S1061</t>
        </is>
      </c>
      <c r="B60" s="5" t="inlineStr">
        <is>
          <t>Garcia</t>
        </is>
      </c>
      <c r="C60" s="5" t="inlineStr">
        <is>
          <t>Active</t>
        </is>
      </c>
      <c r="D60" s="5" t="inlineStr">
        <is>
          <t>MTSS Tier 3</t>
        </is>
      </c>
      <c r="E60" s="6" t="n">
        <v>45923</v>
      </c>
      <c r="F60" t="inlineStr">
        <is>
          <t>Henry Garcia</t>
        </is>
      </c>
    </row>
    <row r="61">
      <c r="A61" s="5" t="inlineStr">
        <is>
          <t>S1062</t>
        </is>
      </c>
      <c r="B61" s="5" t="inlineStr">
        <is>
          <t>Brown</t>
        </is>
      </c>
      <c r="C61" s="5" t="inlineStr">
        <is>
          <t>Active</t>
        </is>
      </c>
      <c r="D61" s="5" t="inlineStr">
        <is>
          <t>MTSS Tier 2</t>
        </is>
      </c>
      <c r="E61" s="6" t="n">
        <v>45957</v>
      </c>
      <c r="F61" t="inlineStr">
        <is>
          <t>Leo Brown</t>
        </is>
      </c>
    </row>
    <row r="62">
      <c r="A62" s="5" t="inlineStr">
        <is>
          <t>S1063</t>
        </is>
      </c>
      <c r="B62" s="5" t="inlineStr">
        <is>
          <t>Lee</t>
        </is>
      </c>
      <c r="C62" s="5" t="inlineStr">
        <is>
          <t>Active</t>
        </is>
      </c>
      <c r="D62" s="5" t="inlineStr">
        <is>
          <t>Core</t>
        </is>
      </c>
      <c r="E62" s="6" t="n">
        <v>45908</v>
      </c>
      <c r="F62" t="inlineStr">
        <is>
          <t>Charlotte Lee</t>
        </is>
      </c>
    </row>
    <row r="63">
      <c r="A63" s="5" t="inlineStr">
        <is>
          <t>S1064</t>
        </is>
      </c>
      <c r="B63" s="5" t="inlineStr">
        <is>
          <t>Brown</t>
        </is>
      </c>
      <c r="C63" s="5" t="inlineStr">
        <is>
          <t>Active</t>
        </is>
      </c>
      <c r="D63" s="5" t="inlineStr">
        <is>
          <t>MTSS Tier 3</t>
        </is>
      </c>
      <c r="E63" s="6" t="n">
        <v>45971</v>
      </c>
      <c r="F63" t="inlineStr">
        <is>
          <t>Lucas Brown</t>
        </is>
      </c>
    </row>
    <row r="64">
      <c r="A64" s="5" t="inlineStr">
        <is>
          <t>S1065</t>
        </is>
      </c>
      <c r="B64" s="5" t="inlineStr">
        <is>
          <t>Davis</t>
        </is>
      </c>
      <c r="C64" s="5" t="inlineStr">
        <is>
          <t>Active</t>
        </is>
      </c>
      <c r="D64" s="5" t="inlineStr">
        <is>
          <t>MTSS Tier 3</t>
        </is>
      </c>
      <c r="E64" s="6" t="n">
        <v>45907</v>
      </c>
      <c r="F64" t="inlineStr">
        <is>
          <t>Henry Davis</t>
        </is>
      </c>
    </row>
    <row r="65">
      <c r="A65" s="5" t="inlineStr">
        <is>
          <t>S1066</t>
        </is>
      </c>
      <c r="B65" s="5" t="inlineStr">
        <is>
          <t>Brown</t>
        </is>
      </c>
      <c r="C65" s="5" t="inlineStr">
        <is>
          <t>Active</t>
        </is>
      </c>
      <c r="D65" s="5" t="inlineStr">
        <is>
          <t>MTSS Tier 3</t>
        </is>
      </c>
      <c r="E65" s="6" t="n">
        <v>45905</v>
      </c>
      <c r="F65" t="inlineStr">
        <is>
          <t>Lucas Brown</t>
        </is>
      </c>
    </row>
    <row r="66">
      <c r="A66" s="5" t="inlineStr">
        <is>
          <t>S1067</t>
        </is>
      </c>
      <c r="B66" s="5" t="inlineStr">
        <is>
          <t>Anderson</t>
        </is>
      </c>
      <c r="C66" s="5" t="inlineStr">
        <is>
          <t>Withdrawn</t>
        </is>
      </c>
      <c r="D66" s="5" t="inlineStr">
        <is>
          <t>Core</t>
        </is>
      </c>
      <c r="E66" s="6" t="n">
        <v>45955</v>
      </c>
      <c r="F66" t="inlineStr">
        <is>
          <t>Leo Anderson</t>
        </is>
      </c>
    </row>
    <row r="67">
      <c r="A67" s="5" t="inlineStr">
        <is>
          <t>S1068</t>
        </is>
      </c>
      <c r="B67" s="5" t="inlineStr">
        <is>
          <t>Brown</t>
        </is>
      </c>
      <c r="C67" s="5" t="inlineStr">
        <is>
          <t>Active</t>
        </is>
      </c>
      <c r="D67" s="5" t="inlineStr">
        <is>
          <t>MTSS Tier 1</t>
        </is>
      </c>
      <c r="E67" s="6" t="n">
        <v>45925</v>
      </c>
      <c r="F67" t="inlineStr">
        <is>
          <t>Amelia Brown</t>
        </is>
      </c>
    </row>
    <row r="68">
      <c r="A68" s="5" t="inlineStr">
        <is>
          <t>S1069</t>
        </is>
      </c>
      <c r="B68" s="5" t="inlineStr">
        <is>
          <t>Smith</t>
        </is>
      </c>
      <c r="C68" s="5" t="inlineStr">
        <is>
          <t>Active</t>
        </is>
      </c>
      <c r="D68" s="5" t="inlineStr">
        <is>
          <t>Core</t>
        </is>
      </c>
      <c r="E68" s="6" t="n">
        <v>45955</v>
      </c>
      <c r="F68" t="inlineStr">
        <is>
          <t>Jack Smith</t>
        </is>
      </c>
    </row>
    <row r="69">
      <c r="A69" s="5" t="inlineStr">
        <is>
          <t>S1070</t>
        </is>
      </c>
      <c r="B69" s="5" t="inlineStr">
        <is>
          <t>Smith</t>
        </is>
      </c>
      <c r="C69" s="5" t="inlineStr">
        <is>
          <t>Active</t>
        </is>
      </c>
      <c r="D69" s="5" t="inlineStr">
        <is>
          <t>MTSS Tier 1</t>
        </is>
      </c>
      <c r="E69" s="6" t="n">
        <v>45939</v>
      </c>
      <c r="F69" t="inlineStr">
        <is>
          <t>Charlotte Smith</t>
        </is>
      </c>
    </row>
    <row r="70">
      <c r="A70" s="5" t="inlineStr">
        <is>
          <t>S1071</t>
        </is>
      </c>
      <c r="B70" s="5" t="inlineStr">
        <is>
          <t>Thomas</t>
        </is>
      </c>
      <c r="C70" s="5" t="inlineStr">
        <is>
          <t>Active</t>
        </is>
      </c>
      <c r="D70" s="5" t="inlineStr">
        <is>
          <t>MTSS Tier 3</t>
        </is>
      </c>
      <c r="E70" s="6" t="n">
        <v>45976</v>
      </c>
      <c r="F70" t="inlineStr">
        <is>
          <t>Amelia Thomas</t>
        </is>
      </c>
    </row>
    <row r="71">
      <c r="A71" s="5" t="inlineStr">
        <is>
          <t>S1072</t>
        </is>
      </c>
      <c r="B71" s="5" t="inlineStr">
        <is>
          <t>Patel</t>
        </is>
      </c>
      <c r="C71" s="5" t="inlineStr">
        <is>
          <t>Active</t>
        </is>
      </c>
      <c r="D71" s="5" t="inlineStr">
        <is>
          <t>MTSS Tier 1</t>
        </is>
      </c>
      <c r="E71" s="6" t="n">
        <v>45976</v>
      </c>
      <c r="F71" t="inlineStr">
        <is>
          <t>Sophia Patel</t>
        </is>
      </c>
    </row>
    <row r="72">
      <c r="A72" s="5" t="inlineStr">
        <is>
          <t>S1073</t>
        </is>
      </c>
      <c r="B72" s="5" t="inlineStr">
        <is>
          <t>Wilson</t>
        </is>
      </c>
      <c r="C72" s="5" t="inlineStr">
        <is>
          <t>Active</t>
        </is>
      </c>
      <c r="D72" s="5" t="inlineStr">
        <is>
          <t>MTSS Tier 2</t>
        </is>
      </c>
      <c r="E72" s="6" t="n">
        <v>45919</v>
      </c>
      <c r="F72" t="inlineStr">
        <is>
          <t>Charlotte Wilson</t>
        </is>
      </c>
    </row>
    <row r="73">
      <c r="A73" s="5" t="inlineStr">
        <is>
          <t>S1074</t>
        </is>
      </c>
      <c r="B73" s="5" t="inlineStr">
        <is>
          <t>Lee</t>
        </is>
      </c>
      <c r="C73" s="5" t="inlineStr">
        <is>
          <t>Active</t>
        </is>
      </c>
      <c r="D73" s="5" t="inlineStr">
        <is>
          <t>MTSS Tier 2</t>
        </is>
      </c>
      <c r="E73" s="6" t="n">
        <v>45980</v>
      </c>
      <c r="F73" t="inlineStr">
        <is>
          <t>Amelia Lee</t>
        </is>
      </c>
    </row>
    <row r="74">
      <c r="A74" s="5" t="inlineStr">
        <is>
          <t>S1075</t>
        </is>
      </c>
      <c r="B74" s="5" t="inlineStr">
        <is>
          <t>Brown</t>
        </is>
      </c>
      <c r="C74" s="5" t="inlineStr">
        <is>
          <t>Active</t>
        </is>
      </c>
      <c r="D74" s="5" t="inlineStr">
        <is>
          <t>MTSS Tier 2</t>
        </is>
      </c>
      <c r="E74" s="6" t="n">
        <v>45975</v>
      </c>
      <c r="F74" t="inlineStr">
        <is>
          <t>Ava Brown</t>
        </is>
      </c>
    </row>
    <row r="75">
      <c r="A75" s="5" t="inlineStr">
        <is>
          <t>S1076</t>
        </is>
      </c>
      <c r="B75" s="5" t="inlineStr">
        <is>
          <t>Brown</t>
        </is>
      </c>
      <c r="C75" s="5" t="inlineStr">
        <is>
          <t>Active</t>
        </is>
      </c>
      <c r="D75" s="5" t="inlineStr">
        <is>
          <t>Core</t>
        </is>
      </c>
      <c r="E75" s="6" t="n">
        <v>45903</v>
      </c>
      <c r="F75" t="inlineStr">
        <is>
          <t>Olivia Brown</t>
        </is>
      </c>
    </row>
    <row r="76">
      <c r="A76" s="5" t="inlineStr">
        <is>
          <t>S1077</t>
        </is>
      </c>
      <c r="B76" s="5" t="inlineStr">
        <is>
          <t>Garcia</t>
        </is>
      </c>
      <c r="C76" s="5" t="inlineStr">
        <is>
          <t>Active</t>
        </is>
      </c>
      <c r="D76" s="5" t="inlineStr">
        <is>
          <t>Core</t>
        </is>
      </c>
      <c r="E76" s="6" t="n">
        <v>45953</v>
      </c>
      <c r="F76" t="inlineStr">
        <is>
          <t>Sophia Garcia</t>
        </is>
      </c>
    </row>
    <row r="77">
      <c r="A77" s="5" t="inlineStr">
        <is>
          <t>S1078</t>
        </is>
      </c>
      <c r="B77" s="5" t="inlineStr">
        <is>
          <t>Smith</t>
        </is>
      </c>
      <c r="C77" s="5" t="inlineStr">
        <is>
          <t>Active</t>
        </is>
      </c>
      <c r="D77" s="5" t="inlineStr">
        <is>
          <t>Core</t>
        </is>
      </c>
      <c r="E77" s="6" t="n">
        <v>45947</v>
      </c>
      <c r="F77" t="inlineStr">
        <is>
          <t>Ava Smith</t>
        </is>
      </c>
    </row>
    <row r="78">
      <c r="A78" s="5" t="inlineStr">
        <is>
          <t>S1079</t>
        </is>
      </c>
      <c r="B78" s="5" t="inlineStr">
        <is>
          <t>Lee</t>
        </is>
      </c>
      <c r="C78" s="5" t="inlineStr">
        <is>
          <t>Active</t>
        </is>
      </c>
      <c r="D78" s="5" t="inlineStr">
        <is>
          <t>MTSS Tier 2</t>
        </is>
      </c>
      <c r="E78" s="6" t="n">
        <v>45979</v>
      </c>
      <c r="F78" t="inlineStr">
        <is>
          <t>James Lee</t>
        </is>
      </c>
    </row>
    <row r="79">
      <c r="A79" s="5" t="inlineStr">
        <is>
          <t>S1080</t>
        </is>
      </c>
      <c r="B79" s="5" t="inlineStr">
        <is>
          <t>Thomas</t>
        </is>
      </c>
      <c r="C79" s="5" t="inlineStr">
        <is>
          <t>Active</t>
        </is>
      </c>
      <c r="D79" s="5" t="inlineStr">
        <is>
          <t>Core</t>
        </is>
      </c>
      <c r="E79" s="6" t="n">
        <v>45906</v>
      </c>
      <c r="F79" t="inlineStr">
        <is>
          <t>Lucas Thomas</t>
        </is>
      </c>
    </row>
    <row r="80">
      <c r="A80" s="5" t="inlineStr">
        <is>
          <t>S1081</t>
        </is>
      </c>
      <c r="B80" s="5" t="inlineStr">
        <is>
          <t>Taylor</t>
        </is>
      </c>
      <c r="C80" s="5" t="inlineStr">
        <is>
          <t>Active</t>
        </is>
      </c>
      <c r="D80" s="5" t="inlineStr">
        <is>
          <t>Core</t>
        </is>
      </c>
      <c r="E80" s="6" t="n">
        <v>45964</v>
      </c>
      <c r="F80" t="inlineStr">
        <is>
          <t>Isabella Taylor</t>
        </is>
      </c>
    </row>
    <row r="81">
      <c r="A81" s="5" t="inlineStr">
        <is>
          <t>S1082</t>
        </is>
      </c>
      <c r="B81" s="5" t="inlineStr">
        <is>
          <t>Patel</t>
        </is>
      </c>
      <c r="C81" s="5" t="inlineStr">
        <is>
          <t>Active</t>
        </is>
      </c>
      <c r="D81" s="5" t="inlineStr">
        <is>
          <t>Core</t>
        </is>
      </c>
      <c r="E81" s="6" t="n">
        <v>45967</v>
      </c>
      <c r="F81" t="inlineStr">
        <is>
          <t>Ella Patel</t>
        </is>
      </c>
    </row>
    <row r="82">
      <c r="A82" s="5" t="inlineStr">
        <is>
          <t>S1083</t>
        </is>
      </c>
      <c r="B82" s="5" t="inlineStr">
        <is>
          <t>Wilson</t>
        </is>
      </c>
      <c r="C82" s="5" t="inlineStr">
        <is>
          <t>Active</t>
        </is>
      </c>
      <c r="D82" s="5" t="inlineStr">
        <is>
          <t>MTSS Tier 1</t>
        </is>
      </c>
      <c r="E82" s="6" t="n">
        <v>45934</v>
      </c>
      <c r="F82" t="inlineStr">
        <is>
          <t>Harper Wilson</t>
        </is>
      </c>
    </row>
    <row r="83">
      <c r="A83" s="5" t="inlineStr">
        <is>
          <t>S1084</t>
        </is>
      </c>
      <c r="B83" s="5" t="inlineStr">
        <is>
          <t>Johnson</t>
        </is>
      </c>
      <c r="C83" s="5" t="inlineStr">
        <is>
          <t>Active</t>
        </is>
      </c>
      <c r="D83" s="5" t="inlineStr">
        <is>
          <t>MTSS Tier 2</t>
        </is>
      </c>
      <c r="E83" s="6" t="n">
        <v>45936</v>
      </c>
      <c r="F83" t="inlineStr">
        <is>
          <t>Lucas Johnson</t>
        </is>
      </c>
    </row>
    <row r="84">
      <c r="A84" s="5" t="inlineStr">
        <is>
          <t>S1085</t>
        </is>
      </c>
      <c r="B84" s="5" t="inlineStr">
        <is>
          <t>Wilson</t>
        </is>
      </c>
      <c r="C84" s="5" t="inlineStr">
        <is>
          <t>Active</t>
        </is>
      </c>
      <c r="D84" s="5" t="inlineStr">
        <is>
          <t>MTSS Tier 2</t>
        </is>
      </c>
      <c r="E84" s="6" t="n">
        <v>45974</v>
      </c>
      <c r="F84" t="inlineStr">
        <is>
          <t>Mia Wilson</t>
        </is>
      </c>
    </row>
    <row r="85">
      <c r="A85" s="5" t="inlineStr">
        <is>
          <t>S1086</t>
        </is>
      </c>
      <c r="B85" s="5" t="inlineStr">
        <is>
          <t>Anderson</t>
        </is>
      </c>
      <c r="C85" s="5" t="inlineStr">
        <is>
          <t>Active</t>
        </is>
      </c>
      <c r="D85" s="5" t="inlineStr">
        <is>
          <t>Core</t>
        </is>
      </c>
      <c r="E85" s="6" t="n">
        <v>45941</v>
      </c>
      <c r="F85" t="inlineStr">
        <is>
          <t>Mia Anderson</t>
        </is>
      </c>
    </row>
    <row r="86">
      <c r="A86" s="5" t="inlineStr">
        <is>
          <t>S1087</t>
        </is>
      </c>
      <c r="B86" s="5" t="inlineStr">
        <is>
          <t>Davis</t>
        </is>
      </c>
      <c r="C86" s="5" t="inlineStr">
        <is>
          <t>Active</t>
        </is>
      </c>
      <c r="D86" s="5" t="inlineStr">
        <is>
          <t>MTSS Tier 2</t>
        </is>
      </c>
      <c r="E86" s="6" t="n">
        <v>45928</v>
      </c>
      <c r="F86" t="inlineStr">
        <is>
          <t>Ava Davis</t>
        </is>
      </c>
    </row>
    <row r="87">
      <c r="A87" s="5" t="inlineStr">
        <is>
          <t>S1088</t>
        </is>
      </c>
      <c r="B87" s="5" t="inlineStr">
        <is>
          <t>Anderson</t>
        </is>
      </c>
      <c r="C87" s="5" t="inlineStr">
        <is>
          <t>Active</t>
        </is>
      </c>
      <c r="D87" s="5" t="inlineStr">
        <is>
          <t>MTSS Tier 1</t>
        </is>
      </c>
      <c r="E87" s="6" t="n">
        <v>45936</v>
      </c>
      <c r="F87" t="inlineStr">
        <is>
          <t>Emma Anderson</t>
        </is>
      </c>
    </row>
    <row r="88">
      <c r="A88" s="5" t="inlineStr">
        <is>
          <t>S1089</t>
        </is>
      </c>
      <c r="B88" s="5" t="inlineStr">
        <is>
          <t>Brown</t>
        </is>
      </c>
      <c r="C88" s="5" t="inlineStr">
        <is>
          <t>Active</t>
        </is>
      </c>
      <c r="D88" s="5" t="inlineStr">
        <is>
          <t>Core</t>
        </is>
      </c>
      <c r="E88" s="6" t="n">
        <v>45956</v>
      </c>
      <c r="F88" t="inlineStr">
        <is>
          <t>Mason Brown</t>
        </is>
      </c>
    </row>
    <row r="89">
      <c r="A89" s="5" t="inlineStr">
        <is>
          <t>S1090</t>
        </is>
      </c>
      <c r="B89" s="5" t="inlineStr">
        <is>
          <t>Patel</t>
        </is>
      </c>
      <c r="C89" s="5" t="inlineStr">
        <is>
          <t>Active</t>
        </is>
      </c>
      <c r="D89" s="5" t="inlineStr">
        <is>
          <t>MTSS Tier 1</t>
        </is>
      </c>
      <c r="E89" s="6" t="n">
        <v>45905</v>
      </c>
      <c r="F89" t="inlineStr">
        <is>
          <t>Olivia Patel</t>
        </is>
      </c>
    </row>
    <row r="90">
      <c r="A90" s="5" t="inlineStr">
        <is>
          <t>S1091</t>
        </is>
      </c>
      <c r="B90" s="5" t="inlineStr">
        <is>
          <t>Davis</t>
        </is>
      </c>
      <c r="C90" s="5" t="inlineStr">
        <is>
          <t>Active</t>
        </is>
      </c>
      <c r="D90" s="5" t="inlineStr">
        <is>
          <t>Core</t>
        </is>
      </c>
      <c r="E90" s="6" t="n">
        <v>45952</v>
      </c>
      <c r="F90" t="inlineStr">
        <is>
          <t>Sophia Davis</t>
        </is>
      </c>
    </row>
    <row r="91">
      <c r="A91" s="5" t="inlineStr">
        <is>
          <t>S1092</t>
        </is>
      </c>
      <c r="B91" s="5" t="inlineStr">
        <is>
          <t>Lee</t>
        </is>
      </c>
      <c r="C91" s="5" t="inlineStr">
        <is>
          <t>Active</t>
        </is>
      </c>
      <c r="D91" s="5" t="inlineStr">
        <is>
          <t>Core</t>
        </is>
      </c>
      <c r="E91" s="6" t="n">
        <v>45914</v>
      </c>
      <c r="F91" t="inlineStr">
        <is>
          <t>Olivia Lee</t>
        </is>
      </c>
    </row>
    <row r="92">
      <c r="A92" s="5" t="inlineStr">
        <is>
          <t>S1093</t>
        </is>
      </c>
      <c r="B92" s="5" t="inlineStr">
        <is>
          <t>Johnson</t>
        </is>
      </c>
      <c r="C92" s="5" t="inlineStr">
        <is>
          <t>Active</t>
        </is>
      </c>
      <c r="D92" s="5" t="inlineStr">
        <is>
          <t>MTSS Tier 1</t>
        </is>
      </c>
      <c r="E92" s="6" t="n">
        <v>45967</v>
      </c>
      <c r="F92" t="inlineStr">
        <is>
          <t>Sophia Johnson</t>
        </is>
      </c>
    </row>
    <row r="93">
      <c r="A93" s="5" t="inlineStr">
        <is>
          <t>S1094</t>
        </is>
      </c>
      <c r="B93" s="5" t="inlineStr">
        <is>
          <t>Smith</t>
        </is>
      </c>
      <c r="C93" s="5" t="inlineStr">
        <is>
          <t>Active</t>
        </is>
      </c>
      <c r="D93" s="5" t="inlineStr">
        <is>
          <t>Core</t>
        </is>
      </c>
      <c r="E93" s="6" t="n">
        <v>45956</v>
      </c>
      <c r="F93" t="inlineStr">
        <is>
          <t>Lucas Smith</t>
        </is>
      </c>
    </row>
    <row r="94">
      <c r="A94" s="5" t="inlineStr">
        <is>
          <t>S1095</t>
        </is>
      </c>
      <c r="B94" s="5" t="inlineStr">
        <is>
          <t>Patel</t>
        </is>
      </c>
      <c r="C94" s="5" t="inlineStr">
        <is>
          <t>Active</t>
        </is>
      </c>
      <c r="D94" s="5" t="inlineStr">
        <is>
          <t>Core</t>
        </is>
      </c>
      <c r="E94" s="6" t="n">
        <v>45907</v>
      </c>
      <c r="F94" t="inlineStr">
        <is>
          <t>James Patel</t>
        </is>
      </c>
    </row>
    <row r="95">
      <c r="A95" s="5" t="inlineStr">
        <is>
          <t>S1096</t>
        </is>
      </c>
      <c r="B95" s="5" t="inlineStr">
        <is>
          <t>Patel</t>
        </is>
      </c>
      <c r="C95" s="5" t="inlineStr">
        <is>
          <t>Active</t>
        </is>
      </c>
      <c r="D95" s="5" t="inlineStr">
        <is>
          <t>Core</t>
        </is>
      </c>
      <c r="E95" s="6" t="n">
        <v>45959</v>
      </c>
      <c r="F95" t="inlineStr">
        <is>
          <t>Liam Patel</t>
        </is>
      </c>
    </row>
    <row r="96">
      <c r="A96" s="5" t="inlineStr">
        <is>
          <t>S1097</t>
        </is>
      </c>
      <c r="B96" s="5" t="inlineStr">
        <is>
          <t>Anderson</t>
        </is>
      </c>
      <c r="C96" s="5" t="inlineStr">
        <is>
          <t>Active</t>
        </is>
      </c>
      <c r="D96" s="5" t="inlineStr">
        <is>
          <t>Core</t>
        </is>
      </c>
      <c r="E96" s="6" t="n">
        <v>45919</v>
      </c>
      <c r="F96" t="inlineStr">
        <is>
          <t>Ava Anderson</t>
        </is>
      </c>
    </row>
    <row r="97">
      <c r="A97" s="5" t="inlineStr">
        <is>
          <t>S1098</t>
        </is>
      </c>
      <c r="B97" s="5" t="inlineStr">
        <is>
          <t>Brown</t>
        </is>
      </c>
      <c r="C97" s="5" t="inlineStr">
        <is>
          <t>Withdrawn</t>
        </is>
      </c>
      <c r="D97" s="5" t="inlineStr">
        <is>
          <t>Core</t>
        </is>
      </c>
      <c r="E97" s="6" t="n">
        <v>45949</v>
      </c>
      <c r="F97" t="inlineStr">
        <is>
          <t>Leo Brown</t>
        </is>
      </c>
    </row>
    <row r="98">
      <c r="A98" s="5" t="inlineStr">
        <is>
          <t>S1099</t>
        </is>
      </c>
      <c r="B98" s="5" t="inlineStr">
        <is>
          <t>Miller</t>
        </is>
      </c>
      <c r="C98" s="5" t="inlineStr">
        <is>
          <t>Active</t>
        </is>
      </c>
      <c r="D98" s="5" t="inlineStr">
        <is>
          <t>MTSS Tier 1</t>
        </is>
      </c>
      <c r="E98" s="6" t="n">
        <v>45925</v>
      </c>
      <c r="F98" t="inlineStr">
        <is>
          <t>Emma Miller</t>
        </is>
      </c>
    </row>
    <row r="99">
      <c r="A99" s="5" t="inlineStr">
        <is>
          <t>S1100</t>
        </is>
      </c>
      <c r="B99" s="5" t="inlineStr">
        <is>
          <t>Thomas</t>
        </is>
      </c>
      <c r="C99" s="5" t="inlineStr">
        <is>
          <t>Active</t>
        </is>
      </c>
      <c r="D99" s="5" t="inlineStr">
        <is>
          <t>MTSS Tier 1</t>
        </is>
      </c>
      <c r="E99" s="6" t="n">
        <v>45981</v>
      </c>
      <c r="F99" t="inlineStr">
        <is>
          <t>Mia Thomas</t>
        </is>
      </c>
    </row>
    <row r="100">
      <c r="A100" s="5" t="inlineStr">
        <is>
          <t>S1101</t>
        </is>
      </c>
      <c r="B100" s="5" t="inlineStr">
        <is>
          <t>Anderson</t>
        </is>
      </c>
      <c r="C100" s="5" t="inlineStr">
        <is>
          <t>Active</t>
        </is>
      </c>
      <c r="D100" s="5" t="inlineStr">
        <is>
          <t>MTSS Tier 2</t>
        </is>
      </c>
      <c r="E100" s="6" t="n">
        <v>45916</v>
      </c>
      <c r="F100" t="inlineStr">
        <is>
          <t>James Anderson</t>
        </is>
      </c>
    </row>
    <row r="101">
      <c r="A101" s="5" t="inlineStr">
        <is>
          <t>S1102</t>
        </is>
      </c>
      <c r="B101" s="5" t="inlineStr">
        <is>
          <t>Patel</t>
        </is>
      </c>
      <c r="C101" s="5" t="inlineStr">
        <is>
          <t>Active</t>
        </is>
      </c>
      <c r="D101" s="5" t="inlineStr">
        <is>
          <t>MTSS Tier 2</t>
        </is>
      </c>
      <c r="E101" s="6" t="n">
        <v>45968</v>
      </c>
      <c r="F101" t="inlineStr">
        <is>
          <t>Lucas Patel</t>
        </is>
      </c>
    </row>
    <row r="102">
      <c r="A102" s="5" t="inlineStr">
        <is>
          <t>S1103</t>
        </is>
      </c>
      <c r="B102" s="5" t="inlineStr">
        <is>
          <t>Garcia</t>
        </is>
      </c>
      <c r="C102" s="5" t="inlineStr">
        <is>
          <t>Active</t>
        </is>
      </c>
      <c r="D102" s="5" t="inlineStr">
        <is>
          <t>MTSS Tier 1</t>
        </is>
      </c>
      <c r="E102" s="6" t="n">
        <v>45977</v>
      </c>
      <c r="F102" t="inlineStr">
        <is>
          <t>Mia Garcia</t>
        </is>
      </c>
    </row>
    <row r="103">
      <c r="A103" s="5" t="inlineStr">
        <is>
          <t>S1104</t>
        </is>
      </c>
      <c r="B103" s="5" t="inlineStr">
        <is>
          <t>Johnson</t>
        </is>
      </c>
      <c r="C103" s="5" t="inlineStr">
        <is>
          <t>Active</t>
        </is>
      </c>
      <c r="D103" s="5" t="inlineStr">
        <is>
          <t>MTSS Tier 1</t>
        </is>
      </c>
      <c r="E103" s="6" t="n">
        <v>45953</v>
      </c>
      <c r="F103" t="inlineStr">
        <is>
          <t>Ava Johnson</t>
        </is>
      </c>
    </row>
    <row r="104">
      <c r="A104" s="5" t="inlineStr">
        <is>
          <t>S1105</t>
        </is>
      </c>
      <c r="B104" s="5" t="inlineStr">
        <is>
          <t>Thomas</t>
        </is>
      </c>
      <c r="C104" s="5" t="inlineStr">
        <is>
          <t>Active</t>
        </is>
      </c>
      <c r="D104" s="5" t="inlineStr">
        <is>
          <t>Core</t>
        </is>
      </c>
      <c r="E104" s="6" t="n">
        <v>45940</v>
      </c>
      <c r="F104" t="inlineStr">
        <is>
          <t>Mia Thomas</t>
        </is>
      </c>
    </row>
    <row r="105">
      <c r="A105" s="5" t="inlineStr">
        <is>
          <t>S1106</t>
        </is>
      </c>
      <c r="B105" s="5" t="inlineStr">
        <is>
          <t>Anderson</t>
        </is>
      </c>
      <c r="C105" s="5" t="inlineStr">
        <is>
          <t>Active</t>
        </is>
      </c>
      <c r="D105" s="5" t="inlineStr">
        <is>
          <t>Core</t>
        </is>
      </c>
      <c r="E105" s="6" t="n">
        <v>45966</v>
      </c>
      <c r="F105" t="inlineStr">
        <is>
          <t>Emma Anderson</t>
        </is>
      </c>
    </row>
    <row r="106">
      <c r="A106" s="5" t="inlineStr">
        <is>
          <t>S1107</t>
        </is>
      </c>
      <c r="B106" s="5" t="inlineStr">
        <is>
          <t>Johnson</t>
        </is>
      </c>
      <c r="C106" s="5" t="inlineStr">
        <is>
          <t>Active</t>
        </is>
      </c>
      <c r="D106" s="5" t="inlineStr">
        <is>
          <t>Core</t>
        </is>
      </c>
      <c r="E106" s="6" t="n">
        <v>45940</v>
      </c>
      <c r="F106" t="inlineStr">
        <is>
          <t>Charlotte Johnson</t>
        </is>
      </c>
    </row>
    <row r="107">
      <c r="A107" s="5" t="inlineStr">
        <is>
          <t>S1108</t>
        </is>
      </c>
      <c r="B107" s="5" t="inlineStr">
        <is>
          <t>Garcia</t>
        </is>
      </c>
      <c r="C107" s="5" t="inlineStr">
        <is>
          <t>Active</t>
        </is>
      </c>
      <c r="D107" s="5" t="inlineStr">
        <is>
          <t>Core</t>
        </is>
      </c>
      <c r="E107" s="6" t="n">
        <v>45952</v>
      </c>
      <c r="F107" t="inlineStr">
        <is>
          <t>Henry Garcia</t>
        </is>
      </c>
    </row>
    <row r="108">
      <c r="A108" s="5" t="inlineStr">
        <is>
          <t>S1109</t>
        </is>
      </c>
      <c r="B108" s="5" t="inlineStr">
        <is>
          <t>Taylor</t>
        </is>
      </c>
      <c r="C108" s="5" t="inlineStr">
        <is>
          <t>Active</t>
        </is>
      </c>
      <c r="D108" s="5" t="inlineStr">
        <is>
          <t>Core</t>
        </is>
      </c>
      <c r="E108" s="6" t="n">
        <v>45932</v>
      </c>
      <c r="F108" t="inlineStr">
        <is>
          <t>Mia Taylor</t>
        </is>
      </c>
    </row>
    <row r="109">
      <c r="A109" s="5" t="inlineStr">
        <is>
          <t>S1110</t>
        </is>
      </c>
      <c r="B109" s="5" t="inlineStr">
        <is>
          <t>Garcia</t>
        </is>
      </c>
      <c r="C109" s="5" t="inlineStr">
        <is>
          <t>Active</t>
        </is>
      </c>
      <c r="D109" s="5" t="inlineStr">
        <is>
          <t>Core</t>
        </is>
      </c>
      <c r="E109" s="6" t="n">
        <v>45981</v>
      </c>
      <c r="F109" t="inlineStr">
        <is>
          <t>Ava Garcia</t>
        </is>
      </c>
    </row>
    <row r="110">
      <c r="A110" s="5" t="inlineStr">
        <is>
          <t>S1111</t>
        </is>
      </c>
      <c r="B110" s="5" t="inlineStr">
        <is>
          <t>Garcia</t>
        </is>
      </c>
      <c r="C110" s="5" t="inlineStr">
        <is>
          <t>Active</t>
        </is>
      </c>
      <c r="D110" s="5" t="inlineStr">
        <is>
          <t>MTSS Tier 2</t>
        </is>
      </c>
      <c r="E110" s="6" t="n">
        <v>45953</v>
      </c>
      <c r="F110" t="inlineStr">
        <is>
          <t>Emma Garcia</t>
        </is>
      </c>
    </row>
    <row r="111">
      <c r="A111" s="5" t="inlineStr">
        <is>
          <t>S1112</t>
        </is>
      </c>
      <c r="B111" s="5" t="inlineStr">
        <is>
          <t>Johnson</t>
        </is>
      </c>
      <c r="C111" s="5" t="inlineStr">
        <is>
          <t>Active</t>
        </is>
      </c>
      <c r="D111" s="5" t="inlineStr">
        <is>
          <t>MTSS Tier 3</t>
        </is>
      </c>
      <c r="E111" s="6" t="n">
        <v>45965</v>
      </c>
      <c r="F111" t="inlineStr">
        <is>
          <t>Henry Johnson</t>
        </is>
      </c>
    </row>
    <row r="112">
      <c r="A112" s="5" t="inlineStr">
        <is>
          <t>S1113</t>
        </is>
      </c>
      <c r="B112" s="5" t="inlineStr">
        <is>
          <t>Wilson</t>
        </is>
      </c>
      <c r="C112" s="5" t="inlineStr">
        <is>
          <t>Active</t>
        </is>
      </c>
      <c r="D112" s="5" t="inlineStr">
        <is>
          <t>MTSS Tier 1</t>
        </is>
      </c>
      <c r="E112" s="6" t="n">
        <v>45954</v>
      </c>
      <c r="F112" t="inlineStr">
        <is>
          <t>Olivia Wilson</t>
        </is>
      </c>
    </row>
    <row r="113">
      <c r="A113" s="5" t="inlineStr">
        <is>
          <t>S1114</t>
        </is>
      </c>
      <c r="B113" s="5" t="inlineStr">
        <is>
          <t>Johnson</t>
        </is>
      </c>
      <c r="C113" s="5" t="inlineStr">
        <is>
          <t>Active</t>
        </is>
      </c>
      <c r="D113" s="5" t="inlineStr">
        <is>
          <t>Core</t>
        </is>
      </c>
      <c r="E113" s="6" t="n">
        <v>45940</v>
      </c>
      <c r="F113" t="inlineStr">
        <is>
          <t>Sophia Johnson</t>
        </is>
      </c>
    </row>
    <row r="114">
      <c r="A114" s="5" t="inlineStr">
        <is>
          <t>S1115</t>
        </is>
      </c>
      <c r="B114" s="5" t="inlineStr">
        <is>
          <t>Miller</t>
        </is>
      </c>
      <c r="C114" s="5" t="inlineStr">
        <is>
          <t>Active</t>
        </is>
      </c>
      <c r="D114" s="5" t="inlineStr">
        <is>
          <t>Core</t>
        </is>
      </c>
      <c r="E114" s="6" t="n">
        <v>45981</v>
      </c>
      <c r="F114" t="inlineStr">
        <is>
          <t>Charlotte Miller</t>
        </is>
      </c>
    </row>
    <row r="115">
      <c r="A115" s="5" t="inlineStr">
        <is>
          <t>S1116</t>
        </is>
      </c>
      <c r="B115" s="5" t="inlineStr">
        <is>
          <t>Brown</t>
        </is>
      </c>
      <c r="C115" s="5" t="inlineStr">
        <is>
          <t>Active</t>
        </is>
      </c>
      <c r="D115" s="5" t="inlineStr">
        <is>
          <t>MTSS Tier 2</t>
        </is>
      </c>
      <c r="E115" s="6" t="n">
        <v>45932</v>
      </c>
      <c r="F115" t="inlineStr">
        <is>
          <t>Charlotte Brown</t>
        </is>
      </c>
    </row>
    <row r="116">
      <c r="A116" s="5" t="inlineStr">
        <is>
          <t>S1117</t>
        </is>
      </c>
      <c r="B116" s="5" t="inlineStr">
        <is>
          <t>Davis</t>
        </is>
      </c>
      <c r="C116" s="5" t="inlineStr">
        <is>
          <t>Active</t>
        </is>
      </c>
      <c r="D116" s="5" t="inlineStr">
        <is>
          <t>MTSS Tier 2</t>
        </is>
      </c>
      <c r="E116" s="6" t="n">
        <v>45953</v>
      </c>
      <c r="F116" t="inlineStr">
        <is>
          <t>Mason Davis</t>
        </is>
      </c>
    </row>
    <row r="117">
      <c r="A117" s="5" t="inlineStr">
        <is>
          <t>S1118</t>
        </is>
      </c>
      <c r="B117" s="5" t="inlineStr">
        <is>
          <t>Wilson</t>
        </is>
      </c>
      <c r="C117" s="5" t="inlineStr">
        <is>
          <t>Active</t>
        </is>
      </c>
      <c r="D117" s="5" t="inlineStr">
        <is>
          <t>Core</t>
        </is>
      </c>
      <c r="E117" s="6" t="n">
        <v>45907</v>
      </c>
      <c r="F117" t="inlineStr">
        <is>
          <t>Amelia Wilson</t>
        </is>
      </c>
    </row>
    <row r="118">
      <c r="A118" s="5" t="inlineStr">
        <is>
          <t>S1119</t>
        </is>
      </c>
      <c r="B118" s="5" t="inlineStr">
        <is>
          <t>Smith</t>
        </is>
      </c>
      <c r="C118" s="5" t="inlineStr">
        <is>
          <t>Active</t>
        </is>
      </c>
      <c r="D118" s="5" t="inlineStr">
        <is>
          <t>MTSS Tier 1</t>
        </is>
      </c>
      <c r="E118" s="6" t="n">
        <v>45931</v>
      </c>
      <c r="F118" t="inlineStr">
        <is>
          <t>Ella Smith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B7C9D6"/>
    <outlinePr summaryBelow="1" summaryRight="1"/>
    <pageSetUpPr/>
  </sheetPr>
  <dimension ref="A1:F120"/>
  <sheetViews>
    <sheetView workbookViewId="0">
      <selection activeCell="G18" sqref="G18"/>
    </sheetView>
  </sheetViews>
  <sheetFormatPr baseColWidth="8" defaultRowHeight="15"/>
  <cols>
    <col width="15.5703125" customWidth="1" style="27" min="1" max="1"/>
    <col width="15.85546875" customWidth="1" style="27" min="3" max="3"/>
    <col width="13.28515625" customWidth="1" style="27" min="4" max="4"/>
    <col width="14.140625" customWidth="1" style="27" min="5" max="5"/>
    <col width="16.140625" customWidth="1" style="27" min="6" max="6"/>
    <col width="18.28515625" customWidth="1" style="27" min="7" max="7"/>
    <col width="14.5703125" customWidth="1" style="27" min="8" max="8"/>
    <col width="23.140625" customWidth="1" style="27" min="9" max="9"/>
    <col width="24.140625" customWidth="1" style="27" min="10" max="10"/>
  </cols>
  <sheetData>
    <row r="1">
      <c r="A1" s="4" t="inlineStr">
        <is>
          <t>Student_ID</t>
        </is>
      </c>
      <c r="B1" s="4" t="inlineStr">
        <is>
          <t>Grade</t>
        </is>
      </c>
      <c r="C1" s="4" t="inlineStr">
        <is>
          <t>Days_Enrolled</t>
        </is>
      </c>
      <c r="D1" s="4" t="inlineStr">
        <is>
          <t>Days_Present</t>
        </is>
      </c>
      <c r="E1" s="4" t="inlineStr">
        <is>
          <t>Days_Absent</t>
        </is>
      </c>
      <c r="F1" s="4" t="inlineStr">
        <is>
          <t>Attendance_Rate</t>
        </is>
      </c>
    </row>
    <row r="2">
      <c r="A2" s="5" t="inlineStr">
        <is>
          <t>S1000</t>
        </is>
      </c>
      <c r="B2" s="5" t="n">
        <v>8</v>
      </c>
      <c r="C2" s="5" t="n">
        <v>93</v>
      </c>
      <c r="D2" s="5" t="n">
        <v>81</v>
      </c>
      <c r="E2" s="5" t="n">
        <v>12</v>
      </c>
      <c r="F2" s="5" t="n">
        <v>87.09999999999999</v>
      </c>
    </row>
    <row r="3">
      <c r="A3" s="5" t="inlineStr">
        <is>
          <t>S1001</t>
        </is>
      </c>
      <c r="B3" s="5" t="n">
        <v>5</v>
      </c>
      <c r="C3" s="5" t="n">
        <v>99</v>
      </c>
      <c r="D3" s="5" t="n">
        <v>94</v>
      </c>
      <c r="E3" s="5" t="n">
        <v>5</v>
      </c>
      <c r="F3" s="5" t="n">
        <v>94.90000000000001</v>
      </c>
    </row>
    <row r="4">
      <c r="A4" s="5" t="inlineStr">
        <is>
          <t>S1002</t>
        </is>
      </c>
      <c r="B4" s="5" t="n">
        <v>7</v>
      </c>
      <c r="C4" s="5" t="n">
        <v>145</v>
      </c>
      <c r="D4" s="5" t="n">
        <v>141</v>
      </c>
      <c r="E4" s="5" t="n">
        <v>4</v>
      </c>
      <c r="F4" s="5" t="n">
        <v>97.2</v>
      </c>
    </row>
    <row r="5">
      <c r="A5" s="5" t="inlineStr">
        <is>
          <t>S1003</t>
        </is>
      </c>
      <c r="B5" s="5" t="n">
        <v>8</v>
      </c>
      <c r="C5" s="5" t="n">
        <v>106</v>
      </c>
      <c r="D5" s="5" t="n">
        <v>106</v>
      </c>
      <c r="E5" s="5" t="n">
        <v>0</v>
      </c>
      <c r="F5" s="5" t="n">
        <v>100</v>
      </c>
    </row>
    <row r="6">
      <c r="A6" s="5" t="inlineStr">
        <is>
          <t>S1004</t>
        </is>
      </c>
      <c r="B6" s="5" t="n">
        <v>5</v>
      </c>
      <c r="C6" s="5" t="n">
        <v>163</v>
      </c>
      <c r="D6" s="5" t="n">
        <v>143</v>
      </c>
      <c r="E6" s="5" t="n">
        <v>20</v>
      </c>
      <c r="F6" s="5" t="n">
        <v>87.7</v>
      </c>
    </row>
    <row r="7">
      <c r="A7" s="5" t="inlineStr">
        <is>
          <t>S1005</t>
        </is>
      </c>
      <c r="B7" s="5" t="n">
        <v>5</v>
      </c>
      <c r="C7" s="5" t="n">
        <v>106</v>
      </c>
      <c r="D7" s="5" t="n">
        <v>85</v>
      </c>
      <c r="E7" s="5" t="n">
        <v>21</v>
      </c>
      <c r="F7" s="5" t="n">
        <v>80.2</v>
      </c>
    </row>
    <row r="8">
      <c r="A8" s="5" t="inlineStr">
        <is>
          <t>S1006</t>
        </is>
      </c>
      <c r="B8" s="5" t="n">
        <v>6</v>
      </c>
      <c r="C8" s="5" t="n">
        <v>173</v>
      </c>
      <c r="D8" s="5" t="n">
        <v>153</v>
      </c>
      <c r="E8" s="5" t="n">
        <v>20</v>
      </c>
      <c r="F8" s="5" t="n">
        <v>88.40000000000001</v>
      </c>
    </row>
    <row r="9">
      <c r="A9" s="5" t="inlineStr">
        <is>
          <t>S1007</t>
        </is>
      </c>
      <c r="B9" s="5" t="n">
        <v>7</v>
      </c>
      <c r="C9" s="5" t="n">
        <v>177</v>
      </c>
      <c r="D9" s="5" t="n">
        <v>172</v>
      </c>
      <c r="E9" s="5" t="n">
        <v>5</v>
      </c>
      <c r="F9" s="5" t="n">
        <v>97.2</v>
      </c>
    </row>
    <row r="10">
      <c r="A10" s="5" t="inlineStr">
        <is>
          <t>S1009</t>
        </is>
      </c>
      <c r="B10" s="5" t="n">
        <v>6</v>
      </c>
      <c r="C10" s="5" t="n">
        <v>123</v>
      </c>
      <c r="D10" s="5" t="n">
        <v>101</v>
      </c>
      <c r="E10" s="5" t="n">
        <v>22</v>
      </c>
      <c r="F10" s="5" t="n">
        <v>82.09999999999999</v>
      </c>
    </row>
    <row r="11">
      <c r="A11" s="5" t="inlineStr">
        <is>
          <t>S1010</t>
        </is>
      </c>
      <c r="B11" s="5" t="n">
        <v>6</v>
      </c>
      <c r="C11" s="5" t="n">
        <v>95</v>
      </c>
      <c r="D11" s="5" t="n">
        <v>80</v>
      </c>
      <c r="E11" s="5" t="n">
        <v>15</v>
      </c>
      <c r="F11" s="5" t="n">
        <v>84.2</v>
      </c>
    </row>
    <row r="12">
      <c r="A12" s="5" t="inlineStr">
        <is>
          <t>S1011</t>
        </is>
      </c>
      <c r="B12" s="5" t="n">
        <v>7</v>
      </c>
      <c r="C12" s="5" t="n">
        <v>142</v>
      </c>
      <c r="D12" s="5" t="n">
        <v>139</v>
      </c>
      <c r="E12" s="5" t="n">
        <v>3</v>
      </c>
      <c r="F12" s="5" t="n">
        <v>97.90000000000001</v>
      </c>
    </row>
    <row r="13">
      <c r="A13" s="5" t="inlineStr">
        <is>
          <t>S1012</t>
        </is>
      </c>
      <c r="B13" s="5" t="n">
        <v>7</v>
      </c>
      <c r="C13" s="5" t="n">
        <v>155</v>
      </c>
      <c r="D13" s="5" t="n">
        <v>145</v>
      </c>
      <c r="E13" s="5" t="n">
        <v>10</v>
      </c>
      <c r="F13" s="5" t="n">
        <v>93.5</v>
      </c>
    </row>
    <row r="14">
      <c r="A14" s="5" t="inlineStr">
        <is>
          <t>S1013</t>
        </is>
      </c>
      <c r="B14" s="5" t="n">
        <v>8</v>
      </c>
      <c r="C14" s="5" t="n">
        <v>166</v>
      </c>
      <c r="D14" s="5" t="n">
        <v>143</v>
      </c>
      <c r="E14" s="5" t="n">
        <v>23</v>
      </c>
      <c r="F14" s="5" t="n">
        <v>86.09999999999999</v>
      </c>
    </row>
    <row r="15">
      <c r="A15" s="5" t="inlineStr">
        <is>
          <t>S1014</t>
        </is>
      </c>
      <c r="B15" s="5" t="n">
        <v>8</v>
      </c>
      <c r="C15" s="5" t="n">
        <v>132</v>
      </c>
      <c r="D15" s="5" t="n">
        <v>110</v>
      </c>
      <c r="E15" s="5" t="n">
        <v>22</v>
      </c>
      <c r="F15" s="5" t="n">
        <v>83.3</v>
      </c>
    </row>
    <row r="16">
      <c r="A16" s="5" t="inlineStr">
        <is>
          <t>S1015</t>
        </is>
      </c>
      <c r="B16" s="5" t="n">
        <v>6</v>
      </c>
      <c r="C16" s="5" t="n">
        <v>164</v>
      </c>
      <c r="D16" s="5" t="n">
        <v>156</v>
      </c>
      <c r="E16" s="5" t="n">
        <v>8</v>
      </c>
      <c r="F16" s="5" t="n">
        <v>95.09999999999999</v>
      </c>
    </row>
    <row r="17">
      <c r="A17" s="5" t="inlineStr">
        <is>
          <t>S1016</t>
        </is>
      </c>
      <c r="B17" s="5" t="n">
        <v>8</v>
      </c>
      <c r="C17" s="5" t="n">
        <v>112</v>
      </c>
      <c r="D17" s="5" t="n">
        <v>90</v>
      </c>
      <c r="E17" s="5" t="n">
        <v>22</v>
      </c>
      <c r="F17" s="5" t="n">
        <v>80.40000000000001</v>
      </c>
    </row>
    <row r="18">
      <c r="A18" s="5" t="inlineStr">
        <is>
          <t>S1017</t>
        </is>
      </c>
      <c r="B18" s="5" t="n">
        <v>5</v>
      </c>
      <c r="C18" s="5" t="n">
        <v>144</v>
      </c>
      <c r="D18" s="5" t="n">
        <v>142</v>
      </c>
      <c r="E18" s="5" t="n">
        <v>2</v>
      </c>
      <c r="F18" s="5" t="n">
        <v>98.59999999999999</v>
      </c>
    </row>
    <row r="19">
      <c r="A19" s="5" t="inlineStr">
        <is>
          <t>S1018</t>
        </is>
      </c>
      <c r="B19" s="5" t="n">
        <v>8</v>
      </c>
      <c r="C19" s="5" t="n">
        <v>169</v>
      </c>
      <c r="D19" s="5" t="n">
        <v>151</v>
      </c>
      <c r="E19" s="5" t="n">
        <v>18</v>
      </c>
      <c r="F19" s="5" t="n">
        <v>89.3</v>
      </c>
    </row>
    <row r="20">
      <c r="A20" s="5" t="inlineStr">
        <is>
          <t>S1019</t>
        </is>
      </c>
      <c r="B20" s="5" t="n">
        <v>8</v>
      </c>
      <c r="C20" s="5" t="n">
        <v>164</v>
      </c>
      <c r="D20" s="5" t="n">
        <v>157</v>
      </c>
      <c r="E20" s="5" t="n">
        <v>7</v>
      </c>
      <c r="F20" s="5" t="n">
        <v>95.7</v>
      </c>
    </row>
    <row r="21">
      <c r="A21" s="5" t="inlineStr">
        <is>
          <t>S1020</t>
        </is>
      </c>
      <c r="B21" s="5" t="n">
        <v>5</v>
      </c>
      <c r="C21" s="5" t="n">
        <v>105</v>
      </c>
      <c r="D21" s="5" t="n">
        <v>101</v>
      </c>
      <c r="E21" s="5" t="n">
        <v>4</v>
      </c>
      <c r="F21" s="5" t="n">
        <v>96.2</v>
      </c>
    </row>
    <row r="22">
      <c r="A22" s="5" t="inlineStr">
        <is>
          <t>S1021</t>
        </is>
      </c>
      <c r="B22" s="5" t="n">
        <v>6</v>
      </c>
      <c r="C22" s="5" t="n">
        <v>97</v>
      </c>
      <c r="D22" s="5" t="n">
        <v>94</v>
      </c>
      <c r="E22" s="5" t="n">
        <v>3</v>
      </c>
      <c r="F22" s="5" t="n">
        <v>96.90000000000001</v>
      </c>
    </row>
    <row r="23">
      <c r="A23" s="5" t="inlineStr">
        <is>
          <t>S1022</t>
        </is>
      </c>
      <c r="B23" s="5" t="n">
        <v>5</v>
      </c>
      <c r="C23" s="5" t="n">
        <v>93</v>
      </c>
      <c r="D23" s="5" t="n">
        <v>70</v>
      </c>
      <c r="E23" s="5" t="n">
        <v>23</v>
      </c>
      <c r="F23" s="5" t="n">
        <v>75.3</v>
      </c>
    </row>
    <row r="24">
      <c r="A24" s="5" t="inlineStr">
        <is>
          <t>S1023</t>
        </is>
      </c>
      <c r="B24" s="5" t="n">
        <v>8</v>
      </c>
      <c r="C24" s="5" t="n">
        <v>93</v>
      </c>
      <c r="D24" s="5" t="n">
        <v>88</v>
      </c>
      <c r="E24" s="5" t="n">
        <v>5</v>
      </c>
      <c r="F24" s="5" t="n">
        <v>94.59999999999999</v>
      </c>
    </row>
    <row r="25">
      <c r="A25" s="5" t="inlineStr">
        <is>
          <t>S1024</t>
        </is>
      </c>
      <c r="B25" s="5" t="n">
        <v>6</v>
      </c>
      <c r="C25" s="5" t="n">
        <v>145</v>
      </c>
      <c r="D25" s="5" t="n">
        <v>144</v>
      </c>
      <c r="E25" s="5" t="n">
        <v>1</v>
      </c>
      <c r="F25" s="5" t="n">
        <v>99.3</v>
      </c>
    </row>
    <row r="26">
      <c r="A26" s="5" t="inlineStr">
        <is>
          <t>S1025</t>
        </is>
      </c>
      <c r="B26" s="5" t="n">
        <v>8</v>
      </c>
      <c r="C26" s="5" t="n">
        <v>114</v>
      </c>
      <c r="D26" s="5" t="n">
        <v>95</v>
      </c>
      <c r="E26" s="5" t="n">
        <v>19</v>
      </c>
      <c r="F26" s="5" t="n">
        <v>83.3</v>
      </c>
    </row>
    <row r="27">
      <c r="A27" s="5" t="inlineStr">
        <is>
          <t>S1026</t>
        </is>
      </c>
      <c r="B27" s="5" t="n">
        <v>5</v>
      </c>
      <c r="C27" s="5" t="n">
        <v>156</v>
      </c>
      <c r="D27" s="5" t="n">
        <v>146</v>
      </c>
      <c r="E27" s="5" t="n">
        <v>10</v>
      </c>
      <c r="F27" s="5" t="n">
        <v>93.59999999999999</v>
      </c>
    </row>
    <row r="28">
      <c r="A28" s="5" t="inlineStr">
        <is>
          <t>S1027</t>
        </is>
      </c>
      <c r="B28" s="5" t="n">
        <v>5</v>
      </c>
      <c r="C28" s="5" t="n">
        <v>156</v>
      </c>
      <c r="D28" s="5" t="n">
        <v>153</v>
      </c>
      <c r="E28" s="5" t="n">
        <v>3</v>
      </c>
      <c r="F28" s="5" t="n">
        <v>98.09999999999999</v>
      </c>
    </row>
    <row r="29">
      <c r="A29" s="5" t="inlineStr">
        <is>
          <t>S1028</t>
        </is>
      </c>
      <c r="B29" s="5" t="n">
        <v>8</v>
      </c>
      <c r="C29" s="5" t="n">
        <v>116</v>
      </c>
      <c r="D29" s="5" t="n">
        <v>102</v>
      </c>
      <c r="E29" s="5" t="n">
        <v>14</v>
      </c>
      <c r="F29" s="5" t="n">
        <v>87.90000000000001</v>
      </c>
    </row>
    <row r="30">
      <c r="A30" s="5" t="inlineStr">
        <is>
          <t>S1029</t>
        </is>
      </c>
      <c r="B30" s="5" t="n">
        <v>7</v>
      </c>
      <c r="C30" s="5" t="n">
        <v>121</v>
      </c>
      <c r="D30" s="5" t="n">
        <v>116</v>
      </c>
      <c r="E30" s="5" t="n">
        <v>5</v>
      </c>
      <c r="F30" s="5" t="n">
        <v>95.90000000000001</v>
      </c>
    </row>
    <row r="31">
      <c r="A31" s="5" t="inlineStr">
        <is>
          <t>S9999</t>
        </is>
      </c>
      <c r="B31" s="5" t="n">
        <v>7</v>
      </c>
      <c r="C31" s="5" t="n">
        <v>139</v>
      </c>
      <c r="D31" s="5" t="n">
        <v>118</v>
      </c>
      <c r="E31" s="5" t="n">
        <v>21</v>
      </c>
      <c r="F31" s="5" t="n">
        <v>84.90000000000001</v>
      </c>
    </row>
    <row r="32">
      <c r="A32" s="5" t="inlineStr">
        <is>
          <t>S1031</t>
        </is>
      </c>
      <c r="B32" s="5" t="n">
        <v>5</v>
      </c>
      <c r="C32" s="5" t="n">
        <v>150</v>
      </c>
      <c r="D32" s="5" t="n">
        <v>134</v>
      </c>
      <c r="E32" s="5" t="n">
        <v>16</v>
      </c>
      <c r="F32" s="5" t="n">
        <v>89.3</v>
      </c>
    </row>
    <row r="33">
      <c r="A33" s="5" t="inlineStr">
        <is>
          <t>S1032</t>
        </is>
      </c>
      <c r="B33" s="5" t="n">
        <v>5</v>
      </c>
      <c r="C33" s="5" t="n">
        <v>140</v>
      </c>
      <c r="D33" s="5" t="n">
        <v>117</v>
      </c>
      <c r="E33" s="5" t="n">
        <v>23</v>
      </c>
      <c r="F33" s="5" t="n">
        <v>83.59999999999999</v>
      </c>
    </row>
    <row r="34">
      <c r="A34" s="5" t="inlineStr">
        <is>
          <t>S1033</t>
        </is>
      </c>
      <c r="B34" s="5" t="n">
        <v>7</v>
      </c>
      <c r="C34" s="5" t="n">
        <v>108</v>
      </c>
      <c r="D34" s="5" t="n">
        <v>103</v>
      </c>
      <c r="E34" s="5" t="n">
        <v>5</v>
      </c>
      <c r="F34" s="5" t="n">
        <v>95.40000000000001</v>
      </c>
    </row>
    <row r="35">
      <c r="A35" s="5" t="inlineStr">
        <is>
          <t>S1034</t>
        </is>
      </c>
      <c r="B35" s="5" t="n">
        <v>7</v>
      </c>
      <c r="C35" s="5" t="n">
        <v>110</v>
      </c>
      <c r="D35" s="5" t="n">
        <v>92</v>
      </c>
      <c r="E35" s="5" t="n">
        <v>18</v>
      </c>
      <c r="F35" s="5" t="n">
        <v>83.59999999999999</v>
      </c>
    </row>
    <row r="36">
      <c r="A36" s="5" t="inlineStr">
        <is>
          <t>S1035</t>
        </is>
      </c>
      <c r="B36" s="5" t="n">
        <v>8</v>
      </c>
      <c r="C36" s="5" t="n">
        <v>94</v>
      </c>
      <c r="D36" s="5" t="n">
        <v>93</v>
      </c>
      <c r="E36" s="5" t="n">
        <v>1</v>
      </c>
      <c r="F36" s="5" t="n">
        <v>98.90000000000001</v>
      </c>
    </row>
    <row r="37">
      <c r="A37" s="5" t="inlineStr">
        <is>
          <t>S1036</t>
        </is>
      </c>
      <c r="B37" s="5" t="n">
        <v>8</v>
      </c>
      <c r="C37" s="5" t="n">
        <v>171</v>
      </c>
      <c r="D37" s="5" t="n">
        <v>157</v>
      </c>
      <c r="E37" s="5" t="n">
        <v>14</v>
      </c>
      <c r="F37" s="5" t="n">
        <v>91.8</v>
      </c>
    </row>
    <row r="38">
      <c r="A38" s="5" t="inlineStr">
        <is>
          <t>S1037</t>
        </is>
      </c>
      <c r="B38" s="5" t="n">
        <v>7</v>
      </c>
      <c r="C38" s="5" t="n">
        <v>131</v>
      </c>
      <c r="D38" s="5" t="n">
        <v>121</v>
      </c>
      <c r="E38" s="5" t="n">
        <v>10</v>
      </c>
      <c r="F38" s="5" t="n">
        <v>92.40000000000001</v>
      </c>
    </row>
    <row r="39">
      <c r="A39" s="5" t="inlineStr">
        <is>
          <t>S1038</t>
        </is>
      </c>
      <c r="B39" s="5" t="n">
        <v>8</v>
      </c>
      <c r="C39" s="5" t="n">
        <v>150</v>
      </c>
      <c r="D39" s="5" t="n">
        <v>143</v>
      </c>
      <c r="E39" s="5" t="n">
        <v>7</v>
      </c>
      <c r="F39" s="5" t="n">
        <v>95.3</v>
      </c>
    </row>
    <row r="40">
      <c r="A40" s="5" t="inlineStr">
        <is>
          <t>S1039</t>
        </is>
      </c>
      <c r="B40" s="5" t="n">
        <v>8</v>
      </c>
      <c r="C40" s="5" t="n">
        <v>111</v>
      </c>
      <c r="D40" s="5" t="n">
        <v>93</v>
      </c>
      <c r="E40" s="5" t="n">
        <v>18</v>
      </c>
      <c r="F40" s="5" t="n">
        <v>83.8</v>
      </c>
    </row>
    <row r="41">
      <c r="A41" s="5" t="inlineStr">
        <is>
          <t>S1040</t>
        </is>
      </c>
      <c r="B41" s="5" t="n">
        <v>6</v>
      </c>
      <c r="C41" s="5" t="n">
        <v>110</v>
      </c>
      <c r="D41" s="5" t="n">
        <v>98</v>
      </c>
      <c r="E41" s="5" t="n">
        <v>12</v>
      </c>
      <c r="F41" s="5" t="n">
        <v>89.09999999999999</v>
      </c>
    </row>
    <row r="42">
      <c r="A42" s="5" t="inlineStr">
        <is>
          <t>S1041</t>
        </is>
      </c>
      <c r="B42" s="5" t="n">
        <v>8</v>
      </c>
      <c r="C42" s="5" t="n">
        <v>159</v>
      </c>
      <c r="D42" s="5" t="n">
        <v>148</v>
      </c>
      <c r="E42" s="5" t="n">
        <v>11</v>
      </c>
      <c r="F42" s="5" t="n">
        <v>93.09999999999999</v>
      </c>
    </row>
    <row r="43">
      <c r="A43" s="5" t="inlineStr">
        <is>
          <t>S1042</t>
        </is>
      </c>
      <c r="B43" s="5" t="n">
        <v>5</v>
      </c>
      <c r="C43" s="5" t="n">
        <v>90</v>
      </c>
      <c r="D43" s="5" t="n">
        <v>86</v>
      </c>
      <c r="E43" s="5" t="n">
        <v>4</v>
      </c>
      <c r="F43" s="5" t="n">
        <v>95.59999999999999</v>
      </c>
    </row>
    <row r="44">
      <c r="A44" s="5" t="inlineStr">
        <is>
          <t>S1043</t>
        </is>
      </c>
      <c r="B44" s="5" t="n">
        <v>8</v>
      </c>
      <c r="C44" s="5" t="n">
        <v>94</v>
      </c>
      <c r="D44" s="5" t="n">
        <v>89</v>
      </c>
      <c r="E44" s="5" t="n">
        <v>5</v>
      </c>
      <c r="F44" s="5" t="n">
        <v>94.7</v>
      </c>
    </row>
    <row r="45">
      <c r="A45" s="5" t="inlineStr">
        <is>
          <t>S1044</t>
        </is>
      </c>
      <c r="B45" s="5" t="n">
        <v>8</v>
      </c>
      <c r="C45" s="5" t="n">
        <v>101</v>
      </c>
      <c r="D45" s="5" t="n">
        <v>80</v>
      </c>
      <c r="E45" s="5" t="n">
        <v>21</v>
      </c>
      <c r="F45" s="5" t="n">
        <v>79.2</v>
      </c>
    </row>
    <row r="46">
      <c r="A46" s="5" t="inlineStr">
        <is>
          <t>S1045</t>
        </is>
      </c>
      <c r="B46" s="5" t="n">
        <v>7</v>
      </c>
      <c r="C46" s="5" t="n">
        <v>179</v>
      </c>
      <c r="D46" s="5" t="n">
        <v>176</v>
      </c>
      <c r="E46" s="5" t="n">
        <v>3</v>
      </c>
      <c r="F46" s="5" t="n">
        <v>98.3</v>
      </c>
    </row>
    <row r="47">
      <c r="A47" s="5" t="inlineStr">
        <is>
          <t>S1046</t>
        </is>
      </c>
      <c r="B47" s="5" t="n">
        <v>5</v>
      </c>
      <c r="C47" s="5" t="n">
        <v>135</v>
      </c>
      <c r="D47" s="5" t="n">
        <v>117</v>
      </c>
      <c r="E47" s="5" t="n">
        <v>18</v>
      </c>
      <c r="F47" s="5" t="n">
        <v>86.7</v>
      </c>
    </row>
    <row r="48">
      <c r="A48" s="5" t="inlineStr">
        <is>
          <t>S1047</t>
        </is>
      </c>
      <c r="B48" s="5" t="n">
        <v>8</v>
      </c>
      <c r="C48" s="5" t="n">
        <v>123</v>
      </c>
      <c r="D48" s="5" t="n">
        <v>104</v>
      </c>
      <c r="E48" s="5" t="n">
        <v>19</v>
      </c>
      <c r="F48" s="5" t="n">
        <v>84.59999999999999</v>
      </c>
    </row>
    <row r="49">
      <c r="A49" s="5" t="inlineStr">
        <is>
          <t>S1048</t>
        </is>
      </c>
      <c r="B49" s="5" t="n">
        <v>8</v>
      </c>
      <c r="C49" s="5" t="n">
        <v>138</v>
      </c>
      <c r="D49" s="5" t="n">
        <v>138</v>
      </c>
      <c r="E49" s="5" t="n">
        <v>0</v>
      </c>
      <c r="F49" s="5" t="n">
        <v>100</v>
      </c>
    </row>
    <row r="50">
      <c r="A50" s="5" t="inlineStr">
        <is>
          <t>S1049</t>
        </is>
      </c>
      <c r="B50" s="5" t="n">
        <v>6</v>
      </c>
      <c r="C50" s="5" t="n">
        <v>167</v>
      </c>
      <c r="D50" s="5" t="n">
        <v>148</v>
      </c>
      <c r="E50" s="5" t="n">
        <v>19</v>
      </c>
      <c r="F50" s="5" t="n">
        <v>88.59999999999999</v>
      </c>
    </row>
    <row r="51">
      <c r="A51" s="5" t="inlineStr">
        <is>
          <t>S1050</t>
        </is>
      </c>
      <c r="B51" s="5" t="n">
        <v>8</v>
      </c>
      <c r="C51" s="5" t="n">
        <v>179</v>
      </c>
      <c r="D51" s="5" t="n">
        <v>163</v>
      </c>
      <c r="E51" s="5" t="n">
        <v>16</v>
      </c>
      <c r="F51" s="5" t="n">
        <v>91.09999999999999</v>
      </c>
    </row>
    <row r="52">
      <c r="A52" s="5" t="inlineStr">
        <is>
          <t>S1051</t>
        </is>
      </c>
      <c r="B52" s="5" t="n">
        <v>8</v>
      </c>
      <c r="C52" s="5" t="n">
        <v>134</v>
      </c>
      <c r="D52" s="5" t="n">
        <v>123</v>
      </c>
      <c r="E52" s="5" t="n">
        <v>11</v>
      </c>
      <c r="F52" s="5" t="n">
        <v>91.8</v>
      </c>
    </row>
    <row r="53">
      <c r="A53" s="5" t="inlineStr">
        <is>
          <t>S1052</t>
        </is>
      </c>
      <c r="B53" s="5" t="n">
        <v>6</v>
      </c>
      <c r="C53" s="5" t="n">
        <v>116</v>
      </c>
      <c r="D53" s="5" t="n">
        <v>102</v>
      </c>
      <c r="E53" s="5" t="n">
        <v>14</v>
      </c>
      <c r="F53" s="5" t="n">
        <v>87.90000000000001</v>
      </c>
    </row>
    <row r="54">
      <c r="A54" s="5" t="inlineStr">
        <is>
          <t>S1053</t>
        </is>
      </c>
      <c r="B54" s="5" t="n">
        <v>7</v>
      </c>
      <c r="C54" s="5" t="n">
        <v>162</v>
      </c>
      <c r="D54" s="5" t="n">
        <v>162</v>
      </c>
      <c r="E54" s="5" t="n">
        <v>0</v>
      </c>
      <c r="F54" s="5" t="n">
        <v>100</v>
      </c>
    </row>
    <row r="55">
      <c r="A55" s="5" t="inlineStr">
        <is>
          <t>S1054</t>
        </is>
      </c>
      <c r="B55" s="5" t="n">
        <v>8</v>
      </c>
      <c r="C55" s="5" t="n">
        <v>115</v>
      </c>
      <c r="D55" s="5" t="n">
        <v>102</v>
      </c>
      <c r="E55" s="5" t="n">
        <v>13</v>
      </c>
      <c r="F55" s="5" t="n">
        <v>88.7</v>
      </c>
    </row>
    <row r="56">
      <c r="A56" s="5" t="inlineStr">
        <is>
          <t>S1055</t>
        </is>
      </c>
      <c r="B56" s="5" t="n">
        <v>6</v>
      </c>
      <c r="C56" s="5" t="n">
        <v>136</v>
      </c>
      <c r="D56" s="5" t="n">
        <v>131</v>
      </c>
      <c r="E56" s="5" t="n">
        <v>5</v>
      </c>
      <c r="F56" s="5" t="n">
        <v>96.3</v>
      </c>
    </row>
    <row r="57">
      <c r="A57" s="5" t="inlineStr">
        <is>
          <t>S1056</t>
        </is>
      </c>
      <c r="B57" s="5" t="n">
        <v>5</v>
      </c>
      <c r="C57" s="5" t="n">
        <v>175</v>
      </c>
      <c r="D57" s="5" t="n">
        <v>171</v>
      </c>
      <c r="E57" s="5" t="n">
        <v>4</v>
      </c>
      <c r="F57" s="5" t="n">
        <v>97.7</v>
      </c>
    </row>
    <row r="58">
      <c r="A58" s="5" t="inlineStr">
        <is>
          <t>S1057</t>
        </is>
      </c>
      <c r="B58" s="5" t="n">
        <v>7</v>
      </c>
      <c r="C58" s="5" t="n">
        <v>145</v>
      </c>
      <c r="D58" s="5" t="n">
        <v>135</v>
      </c>
      <c r="E58" s="5" t="n">
        <v>10</v>
      </c>
      <c r="F58" s="5" t="n">
        <v>93.09999999999999</v>
      </c>
    </row>
    <row r="59">
      <c r="A59" s="5" t="inlineStr">
        <is>
          <t>S1058</t>
        </is>
      </c>
      <c r="B59" s="5" t="n">
        <v>5</v>
      </c>
      <c r="C59" s="5" t="n">
        <v>152</v>
      </c>
      <c r="D59" s="5" t="n">
        <v>149</v>
      </c>
      <c r="E59" s="5" t="n">
        <v>3</v>
      </c>
      <c r="F59" s="5" t="n">
        <v>98</v>
      </c>
    </row>
    <row r="60">
      <c r="A60" s="5" t="inlineStr">
        <is>
          <t>S1059</t>
        </is>
      </c>
      <c r="B60" s="5" t="n">
        <v>5</v>
      </c>
      <c r="C60" s="5" t="n">
        <v>137</v>
      </c>
      <c r="D60" s="5" t="n">
        <v>125</v>
      </c>
      <c r="E60" s="5" t="n">
        <v>12</v>
      </c>
      <c r="F60" s="5" t="n">
        <v>91.2</v>
      </c>
    </row>
    <row r="61">
      <c r="A61" s="5" t="inlineStr">
        <is>
          <t>S1060</t>
        </is>
      </c>
      <c r="B61" s="5" t="n">
        <v>6</v>
      </c>
      <c r="C61" s="5" t="n">
        <v>150</v>
      </c>
      <c r="D61" s="5" t="n">
        <v>140</v>
      </c>
      <c r="E61" s="5" t="n">
        <v>10</v>
      </c>
      <c r="F61" s="5" t="n">
        <v>93.3</v>
      </c>
    </row>
    <row r="62">
      <c r="A62" s="5" t="inlineStr">
        <is>
          <t>S1061</t>
        </is>
      </c>
      <c r="B62" s="5" t="n">
        <v>8</v>
      </c>
      <c r="C62" s="5" t="n">
        <v>170</v>
      </c>
      <c r="D62" s="5" t="n">
        <v>168</v>
      </c>
      <c r="E62" s="5" t="n">
        <v>2</v>
      </c>
      <c r="F62" s="5" t="n">
        <v>98.8</v>
      </c>
    </row>
    <row r="63">
      <c r="A63" s="5" t="inlineStr">
        <is>
          <t>S1062</t>
        </is>
      </c>
      <c r="B63" s="5" t="n">
        <v>6</v>
      </c>
      <c r="C63" s="5" t="n">
        <v>115</v>
      </c>
      <c r="D63" s="5" t="n">
        <v>115</v>
      </c>
      <c r="E63" s="5" t="n">
        <v>0</v>
      </c>
      <c r="F63" s="5" t="n">
        <v>100</v>
      </c>
    </row>
    <row r="64">
      <c r="A64" s="5" t="inlineStr">
        <is>
          <t>S1063</t>
        </is>
      </c>
      <c r="B64" s="5" t="n">
        <v>6</v>
      </c>
      <c r="C64" s="5" t="n">
        <v>125</v>
      </c>
      <c r="D64" s="5" t="n">
        <v>120</v>
      </c>
      <c r="E64" s="5" t="n">
        <v>5</v>
      </c>
      <c r="F64" s="5" t="n">
        <v>96</v>
      </c>
    </row>
    <row r="65">
      <c r="A65" s="5" t="inlineStr">
        <is>
          <t>S1064</t>
        </is>
      </c>
      <c r="B65" s="5" t="n">
        <v>6</v>
      </c>
      <c r="C65" s="5" t="n">
        <v>90</v>
      </c>
      <c r="D65" s="5" t="n">
        <v>73</v>
      </c>
      <c r="E65" s="5" t="n">
        <v>17</v>
      </c>
      <c r="F65" s="5" t="n">
        <v>81.09999999999999</v>
      </c>
    </row>
    <row r="66">
      <c r="A66" s="5" t="inlineStr">
        <is>
          <t>S1065</t>
        </is>
      </c>
      <c r="B66" s="5" t="n">
        <v>6</v>
      </c>
      <c r="C66" s="5" t="n">
        <v>97</v>
      </c>
      <c r="D66" s="5" t="n">
        <v>74</v>
      </c>
      <c r="E66" s="5" t="n">
        <v>23</v>
      </c>
      <c r="F66" s="5" t="n">
        <v>76.3</v>
      </c>
    </row>
    <row r="67">
      <c r="A67" s="5" t="inlineStr">
        <is>
          <t>S1066</t>
        </is>
      </c>
      <c r="B67" s="5" t="n">
        <v>7</v>
      </c>
      <c r="C67" s="5" t="n">
        <v>141</v>
      </c>
      <c r="D67" s="5" t="n">
        <v>132</v>
      </c>
      <c r="E67" s="5" t="n">
        <v>9</v>
      </c>
      <c r="F67" s="5" t="n">
        <v>93.59999999999999</v>
      </c>
    </row>
    <row r="68">
      <c r="A68" s="5" t="inlineStr">
        <is>
          <t>S1067</t>
        </is>
      </c>
      <c r="B68" s="5" t="n">
        <v>8</v>
      </c>
      <c r="C68" s="5" t="n">
        <v>168</v>
      </c>
      <c r="D68" s="5" t="n">
        <v>164</v>
      </c>
      <c r="E68" s="5" t="n">
        <v>4</v>
      </c>
      <c r="F68" s="5" t="n">
        <v>97.59999999999999</v>
      </c>
    </row>
    <row r="69">
      <c r="A69" s="5" t="inlineStr">
        <is>
          <t>S1068</t>
        </is>
      </c>
      <c r="B69" s="5" t="n">
        <v>5</v>
      </c>
      <c r="C69" s="5" t="n">
        <v>136</v>
      </c>
      <c r="D69" s="5" t="n">
        <v>114</v>
      </c>
      <c r="E69" s="5" t="n">
        <v>22</v>
      </c>
      <c r="F69" s="5" t="n">
        <v>83.8</v>
      </c>
    </row>
    <row r="70">
      <c r="A70" s="5" t="inlineStr">
        <is>
          <t>S1069</t>
        </is>
      </c>
      <c r="B70" s="5" t="n">
        <v>5</v>
      </c>
      <c r="C70" s="5" t="n">
        <v>145</v>
      </c>
      <c r="D70" s="5" t="n">
        <v>136</v>
      </c>
      <c r="E70" s="5" t="n">
        <v>9</v>
      </c>
      <c r="F70" s="5" t="n">
        <v>93.8</v>
      </c>
    </row>
    <row r="71">
      <c r="A71" s="5" t="inlineStr">
        <is>
          <t>S1070</t>
        </is>
      </c>
      <c r="B71" s="5" t="n">
        <v>8</v>
      </c>
      <c r="C71" s="5" t="n">
        <v>175</v>
      </c>
      <c r="D71" s="5" t="n">
        <v>164</v>
      </c>
      <c r="E71" s="5" t="n">
        <v>11</v>
      </c>
      <c r="F71" s="5" t="n">
        <v>93.7</v>
      </c>
    </row>
    <row r="72">
      <c r="A72" s="5" t="inlineStr">
        <is>
          <t>S1071</t>
        </is>
      </c>
      <c r="B72" s="5" t="n">
        <v>5</v>
      </c>
      <c r="C72" s="5" t="n">
        <v>103</v>
      </c>
      <c r="D72" s="5" t="n">
        <v>102</v>
      </c>
      <c r="E72" s="5" t="n">
        <v>1</v>
      </c>
      <c r="F72" s="5" t="n">
        <v>99</v>
      </c>
    </row>
    <row r="73">
      <c r="A73" s="5" t="inlineStr">
        <is>
          <t>S1072</t>
        </is>
      </c>
      <c r="B73" s="5" t="n">
        <v>8</v>
      </c>
      <c r="C73" s="5" t="n">
        <v>179</v>
      </c>
      <c r="D73" s="5" t="n">
        <v>167</v>
      </c>
      <c r="E73" s="5" t="n">
        <v>12</v>
      </c>
      <c r="F73" s="5" t="n">
        <v>93.3</v>
      </c>
    </row>
    <row r="74">
      <c r="A74" s="5" t="inlineStr">
        <is>
          <t>S1073</t>
        </is>
      </c>
      <c r="B74" s="5" t="n">
        <v>5</v>
      </c>
      <c r="C74" s="5" t="n">
        <v>117</v>
      </c>
      <c r="D74" s="5" t="n">
        <v>110</v>
      </c>
      <c r="E74" s="5" t="n">
        <v>7</v>
      </c>
      <c r="F74" s="5" t="n">
        <v>94</v>
      </c>
    </row>
    <row r="75">
      <c r="A75" s="5" t="inlineStr">
        <is>
          <t>S1074</t>
        </is>
      </c>
      <c r="B75" s="5" t="n">
        <v>6</v>
      </c>
      <c r="C75" s="5" t="n">
        <v>176</v>
      </c>
      <c r="D75" s="5" t="n">
        <v>175</v>
      </c>
      <c r="E75" s="5" t="n">
        <v>1</v>
      </c>
      <c r="F75" s="5" t="n">
        <v>99.40000000000001</v>
      </c>
    </row>
    <row r="76">
      <c r="A76" s="5" t="inlineStr">
        <is>
          <t>S1075</t>
        </is>
      </c>
      <c r="B76" s="5" t="n">
        <v>5</v>
      </c>
      <c r="C76" s="5" t="n">
        <v>167</v>
      </c>
      <c r="D76" s="5" t="n">
        <v>148</v>
      </c>
      <c r="E76" s="5" t="n">
        <v>19</v>
      </c>
      <c r="F76" s="5" t="n">
        <v>88.59999999999999</v>
      </c>
    </row>
    <row r="77">
      <c r="A77" s="5" t="inlineStr">
        <is>
          <t>S1076</t>
        </is>
      </c>
      <c r="B77" s="5" t="n">
        <v>8</v>
      </c>
      <c r="C77" s="5" t="n">
        <v>177</v>
      </c>
      <c r="D77" s="5" t="n">
        <v>177</v>
      </c>
      <c r="E77" s="5" t="n">
        <v>0</v>
      </c>
      <c r="F77" s="5" t="n">
        <v>100</v>
      </c>
    </row>
    <row r="78">
      <c r="A78" s="5" t="inlineStr">
        <is>
          <t>S1077</t>
        </is>
      </c>
      <c r="B78" s="5" t="n">
        <v>8</v>
      </c>
      <c r="C78" s="5" t="n">
        <v>91</v>
      </c>
      <c r="D78" s="5" t="n">
        <v>87</v>
      </c>
      <c r="E78" s="5" t="n">
        <v>4</v>
      </c>
      <c r="F78" s="5" t="n">
        <v>95.59999999999999</v>
      </c>
    </row>
    <row r="79">
      <c r="A79" s="5" t="inlineStr">
        <is>
          <t>S1078</t>
        </is>
      </c>
      <c r="B79" s="5" t="n">
        <v>8</v>
      </c>
      <c r="C79" s="5" t="n">
        <v>115</v>
      </c>
      <c r="D79" s="5" t="n">
        <v>107</v>
      </c>
      <c r="E79" s="5" t="n">
        <v>8</v>
      </c>
      <c r="F79" s="5" t="n">
        <v>93</v>
      </c>
    </row>
    <row r="80">
      <c r="A80" s="5" t="inlineStr">
        <is>
          <t>S1079</t>
        </is>
      </c>
      <c r="B80" s="5" t="n">
        <v>8</v>
      </c>
      <c r="C80" s="5" t="n">
        <v>103</v>
      </c>
      <c r="D80" s="5" t="n">
        <v>87</v>
      </c>
      <c r="E80" s="5" t="n">
        <v>16</v>
      </c>
      <c r="F80" s="5" t="n">
        <v>84.5</v>
      </c>
    </row>
    <row r="81">
      <c r="A81" s="5" t="inlineStr">
        <is>
          <t>S1080</t>
        </is>
      </c>
      <c r="B81" s="5" t="n">
        <v>8</v>
      </c>
      <c r="C81" s="5" t="n">
        <v>148</v>
      </c>
      <c r="D81" s="5" t="n">
        <v>140</v>
      </c>
      <c r="E81" s="5" t="n">
        <v>8</v>
      </c>
      <c r="F81" s="5" t="n">
        <v>94.59999999999999</v>
      </c>
    </row>
    <row r="82">
      <c r="A82" s="5" t="inlineStr">
        <is>
          <t>S1081</t>
        </is>
      </c>
      <c r="B82" s="5" t="n">
        <v>7</v>
      </c>
      <c r="C82" s="5" t="n">
        <v>145</v>
      </c>
      <c r="D82" s="5" t="n">
        <v>135</v>
      </c>
      <c r="E82" s="5" t="n">
        <v>10</v>
      </c>
      <c r="F82" s="5" t="n">
        <v>93.09999999999999</v>
      </c>
    </row>
    <row r="83">
      <c r="A83" s="5" t="inlineStr">
        <is>
          <t>S1082</t>
        </is>
      </c>
      <c r="B83" s="5" t="n">
        <v>7</v>
      </c>
      <c r="C83" s="5" t="n">
        <v>96</v>
      </c>
      <c r="D83" s="5" t="n">
        <v>82</v>
      </c>
      <c r="E83" s="5" t="n">
        <v>14</v>
      </c>
      <c r="F83" s="5" t="n">
        <v>85.40000000000001</v>
      </c>
    </row>
    <row r="84">
      <c r="A84" s="5" t="inlineStr">
        <is>
          <t>S1083</t>
        </is>
      </c>
      <c r="B84" s="5" t="n">
        <v>5</v>
      </c>
      <c r="C84" s="5" t="n">
        <v>92</v>
      </c>
      <c r="D84" s="5" t="n">
        <v>69</v>
      </c>
      <c r="E84" s="5" t="n">
        <v>23</v>
      </c>
      <c r="F84" s="5" t="n">
        <v>75</v>
      </c>
    </row>
    <row r="85">
      <c r="A85" s="5" t="inlineStr">
        <is>
          <t>S1084</t>
        </is>
      </c>
      <c r="B85" s="5" t="n">
        <v>8</v>
      </c>
      <c r="C85" s="5" t="n">
        <v>112</v>
      </c>
      <c r="D85" s="5" t="n">
        <v>107</v>
      </c>
      <c r="E85" s="5" t="n">
        <v>5</v>
      </c>
      <c r="F85" s="5" t="n">
        <v>95.5</v>
      </c>
    </row>
    <row r="86">
      <c r="A86" s="5" t="inlineStr">
        <is>
          <t>S1085</t>
        </is>
      </c>
      <c r="B86" s="5" t="n">
        <v>5</v>
      </c>
      <c r="C86" s="5" t="n">
        <v>107</v>
      </c>
      <c r="D86" s="5" t="n">
        <v>85</v>
      </c>
      <c r="E86" s="5" t="n">
        <v>22</v>
      </c>
      <c r="F86" s="5" t="n">
        <v>79.40000000000001</v>
      </c>
    </row>
    <row r="87">
      <c r="A87" s="5" t="inlineStr">
        <is>
          <t>S1086</t>
        </is>
      </c>
      <c r="B87" s="5" t="n">
        <v>8</v>
      </c>
      <c r="C87" s="5" t="n">
        <v>127</v>
      </c>
      <c r="D87" s="5" t="n">
        <v>125</v>
      </c>
      <c r="E87" s="5" t="n">
        <v>2</v>
      </c>
      <c r="F87" s="5" t="n">
        <v>98.40000000000001</v>
      </c>
    </row>
    <row r="88">
      <c r="A88" s="5" t="inlineStr">
        <is>
          <t>S1087</t>
        </is>
      </c>
      <c r="B88" s="5" t="n">
        <v>8</v>
      </c>
      <c r="C88" s="5" t="n">
        <v>104</v>
      </c>
      <c r="D88" s="5" t="n">
        <v>88</v>
      </c>
      <c r="E88" s="5" t="n">
        <v>16</v>
      </c>
      <c r="F88" s="5" t="n">
        <v>84.59999999999999</v>
      </c>
    </row>
    <row r="89">
      <c r="A89" s="5" t="inlineStr">
        <is>
          <t>S1088</t>
        </is>
      </c>
      <c r="B89" s="5" t="n">
        <v>7</v>
      </c>
      <c r="C89" s="5" t="n">
        <v>153</v>
      </c>
      <c r="D89" s="5" t="n">
        <v>149</v>
      </c>
      <c r="E89" s="5" t="n">
        <v>4</v>
      </c>
      <c r="F89" s="5" t="n">
        <v>97.40000000000001</v>
      </c>
    </row>
    <row r="90">
      <c r="A90" s="5" t="inlineStr">
        <is>
          <t>S1089</t>
        </is>
      </c>
      <c r="B90" s="5" t="n">
        <v>7</v>
      </c>
      <c r="C90" s="5" t="n">
        <v>178</v>
      </c>
      <c r="D90" s="5" t="n">
        <v>167</v>
      </c>
      <c r="E90" s="5" t="n">
        <v>11</v>
      </c>
      <c r="F90" s="5" t="n">
        <v>93.8</v>
      </c>
    </row>
    <row r="91">
      <c r="A91" s="5" t="inlineStr">
        <is>
          <t>S1090</t>
        </is>
      </c>
      <c r="B91" s="5" t="n">
        <v>6</v>
      </c>
      <c r="C91" s="5" t="n">
        <v>117</v>
      </c>
      <c r="D91" s="5" t="n">
        <v>100</v>
      </c>
      <c r="E91" s="5" t="n">
        <v>17</v>
      </c>
      <c r="F91" s="5" t="n">
        <v>85.5</v>
      </c>
    </row>
    <row r="92">
      <c r="A92" s="5" t="inlineStr">
        <is>
          <t>S1091</t>
        </is>
      </c>
      <c r="B92" s="5" t="n">
        <v>7</v>
      </c>
      <c r="C92" s="5" t="n">
        <v>163</v>
      </c>
      <c r="D92" s="5" t="n">
        <v>150</v>
      </c>
      <c r="E92" s="5" t="n">
        <v>13</v>
      </c>
      <c r="F92" s="5" t="n">
        <v>92</v>
      </c>
    </row>
    <row r="93">
      <c r="A93" s="5" t="inlineStr">
        <is>
          <t>S1092</t>
        </is>
      </c>
      <c r="B93" s="5" t="n">
        <v>6</v>
      </c>
      <c r="C93" s="5" t="n">
        <v>128</v>
      </c>
      <c r="D93" s="5" t="n">
        <v>108</v>
      </c>
      <c r="E93" s="5" t="n">
        <v>20</v>
      </c>
      <c r="F93" s="5" t="n">
        <v>84.40000000000001</v>
      </c>
    </row>
    <row r="94">
      <c r="A94" s="5" t="inlineStr">
        <is>
          <t>S1093</t>
        </is>
      </c>
      <c r="B94" s="5" t="n">
        <v>6</v>
      </c>
      <c r="C94" s="5" t="n">
        <v>146</v>
      </c>
      <c r="D94" s="5" t="n">
        <v>123</v>
      </c>
      <c r="E94" s="5" t="n">
        <v>23</v>
      </c>
      <c r="F94" s="5" t="n">
        <v>84.2</v>
      </c>
    </row>
    <row r="95">
      <c r="A95" s="5" t="inlineStr">
        <is>
          <t>S1094</t>
        </is>
      </c>
      <c r="B95" s="5" t="n">
        <v>6</v>
      </c>
      <c r="C95" s="5" t="n">
        <v>106</v>
      </c>
      <c r="D95" s="5" t="n">
        <v>96</v>
      </c>
      <c r="E95" s="5" t="n">
        <v>10</v>
      </c>
      <c r="F95" s="5" t="n">
        <v>90.59999999999999</v>
      </c>
    </row>
    <row r="96">
      <c r="A96" s="5" t="inlineStr">
        <is>
          <t>S1095</t>
        </is>
      </c>
      <c r="B96" s="5" t="n">
        <v>6</v>
      </c>
      <c r="C96" s="5" t="n">
        <v>175</v>
      </c>
      <c r="D96" s="5" t="n">
        <v>167</v>
      </c>
      <c r="E96" s="5" t="n">
        <v>8</v>
      </c>
      <c r="F96" s="5" t="n">
        <v>95.40000000000001</v>
      </c>
    </row>
    <row r="97">
      <c r="A97" s="5" t="inlineStr">
        <is>
          <t>S1096</t>
        </is>
      </c>
      <c r="B97" s="5" t="n">
        <v>6</v>
      </c>
      <c r="C97" s="5" t="n">
        <v>179</v>
      </c>
      <c r="D97" s="5" t="n">
        <v>178</v>
      </c>
      <c r="E97" s="5" t="n">
        <v>1</v>
      </c>
      <c r="F97" s="5" t="n">
        <v>99.40000000000001</v>
      </c>
    </row>
    <row r="98">
      <c r="A98" s="5" t="inlineStr">
        <is>
          <t>S1097</t>
        </is>
      </c>
      <c r="B98" s="5" t="n">
        <v>5</v>
      </c>
      <c r="C98" s="5" t="n">
        <v>133</v>
      </c>
      <c r="D98" s="5" t="n">
        <v>122</v>
      </c>
      <c r="E98" s="5" t="n">
        <v>11</v>
      </c>
      <c r="F98" s="5" t="n">
        <v>91.7</v>
      </c>
    </row>
    <row r="99">
      <c r="A99" s="5" t="inlineStr">
        <is>
          <t>S1098</t>
        </is>
      </c>
      <c r="B99" s="5" t="n">
        <v>7</v>
      </c>
      <c r="C99" s="5" t="n">
        <v>114</v>
      </c>
      <c r="D99" s="5" t="n">
        <v>112</v>
      </c>
      <c r="E99" s="5" t="n">
        <v>2</v>
      </c>
      <c r="F99" s="5" t="n">
        <v>98.2</v>
      </c>
    </row>
    <row r="100">
      <c r="A100" s="5" t="inlineStr">
        <is>
          <t>S1099</t>
        </is>
      </c>
      <c r="B100" s="5" t="n">
        <v>6</v>
      </c>
      <c r="C100" s="5" t="n">
        <v>106</v>
      </c>
      <c r="D100" s="5" t="n">
        <v>104</v>
      </c>
      <c r="E100" s="5" t="n">
        <v>2</v>
      </c>
      <c r="F100" s="5" t="n">
        <v>98.09999999999999</v>
      </c>
    </row>
    <row r="101">
      <c r="A101" s="5" t="inlineStr">
        <is>
          <t>S1100</t>
        </is>
      </c>
      <c r="B101" s="5" t="n">
        <v>8</v>
      </c>
      <c r="C101" s="5" t="n">
        <v>102</v>
      </c>
      <c r="D101" s="5" t="n">
        <v>102</v>
      </c>
      <c r="E101" s="5" t="n">
        <v>0</v>
      </c>
      <c r="F101" s="5" t="n">
        <v>100</v>
      </c>
    </row>
    <row r="102">
      <c r="A102" s="5" t="inlineStr">
        <is>
          <t>S1101</t>
        </is>
      </c>
      <c r="B102" s="5" t="n">
        <v>7</v>
      </c>
      <c r="C102" s="5" t="n">
        <v>173</v>
      </c>
      <c r="D102" s="5" t="n">
        <v>166</v>
      </c>
      <c r="E102" s="5" t="n">
        <v>7</v>
      </c>
      <c r="F102" s="5" t="n">
        <v>96</v>
      </c>
    </row>
    <row r="103">
      <c r="A103" s="5" t="inlineStr">
        <is>
          <t>S1102</t>
        </is>
      </c>
      <c r="B103" s="5" t="n">
        <v>7</v>
      </c>
      <c r="C103" s="5" t="n">
        <v>114</v>
      </c>
      <c r="D103" s="5" t="n">
        <v>93</v>
      </c>
      <c r="E103" s="5" t="n">
        <v>21</v>
      </c>
      <c r="F103" s="5" t="n">
        <v>81.59999999999999</v>
      </c>
    </row>
    <row r="104">
      <c r="A104" s="5" t="inlineStr">
        <is>
          <t>S1103</t>
        </is>
      </c>
      <c r="B104" s="5" t="n">
        <v>6</v>
      </c>
      <c r="C104" s="5" t="n">
        <v>157</v>
      </c>
      <c r="D104" s="5" t="n">
        <v>150</v>
      </c>
      <c r="E104" s="5" t="n">
        <v>7</v>
      </c>
      <c r="F104" s="5" t="n">
        <v>95.5</v>
      </c>
    </row>
    <row r="105">
      <c r="A105" s="5" t="inlineStr">
        <is>
          <t>S1104</t>
        </is>
      </c>
      <c r="B105" s="5" t="n">
        <v>5</v>
      </c>
      <c r="C105" s="5" t="n">
        <v>99</v>
      </c>
      <c r="D105" s="5" t="n">
        <v>89</v>
      </c>
      <c r="E105" s="5" t="n">
        <v>10</v>
      </c>
      <c r="F105" s="5" t="n">
        <v>89.90000000000001</v>
      </c>
    </row>
    <row r="106">
      <c r="A106" s="5" t="inlineStr">
        <is>
          <t>S1105</t>
        </is>
      </c>
      <c r="B106" s="5" t="n">
        <v>6</v>
      </c>
      <c r="C106" s="5" t="n">
        <v>156</v>
      </c>
      <c r="D106" s="5" t="n">
        <v>148</v>
      </c>
      <c r="E106" s="5" t="n">
        <v>8</v>
      </c>
      <c r="F106" s="5" t="n">
        <v>94.90000000000001</v>
      </c>
    </row>
    <row r="107">
      <c r="A107" s="5" t="inlineStr">
        <is>
          <t>S1106</t>
        </is>
      </c>
      <c r="B107" s="5" t="n">
        <v>5</v>
      </c>
      <c r="C107" s="5" t="n">
        <v>107</v>
      </c>
      <c r="D107" s="5" t="n">
        <v>103</v>
      </c>
      <c r="E107" s="5" t="n">
        <v>4</v>
      </c>
      <c r="F107" s="5" t="n">
        <v>96.3</v>
      </c>
    </row>
    <row r="108">
      <c r="A108" s="5" t="inlineStr">
        <is>
          <t>S1107</t>
        </is>
      </c>
      <c r="B108" s="5" t="n">
        <v>8</v>
      </c>
      <c r="C108" s="5" t="n">
        <v>175</v>
      </c>
      <c r="D108" s="5" t="n">
        <v>162</v>
      </c>
      <c r="E108" s="5" t="n">
        <v>13</v>
      </c>
      <c r="F108" s="5" t="n">
        <v>92.59999999999999</v>
      </c>
    </row>
    <row r="109">
      <c r="A109" s="5" t="inlineStr">
        <is>
          <t>S1108</t>
        </is>
      </c>
      <c r="B109" s="5" t="n">
        <v>7</v>
      </c>
      <c r="C109" s="5" t="n">
        <v>123</v>
      </c>
      <c r="D109" s="5" t="n">
        <v>121</v>
      </c>
      <c r="E109" s="5" t="n">
        <v>2</v>
      </c>
      <c r="F109" s="5" t="n">
        <v>98.40000000000001</v>
      </c>
    </row>
    <row r="110">
      <c r="A110" s="5" t="inlineStr">
        <is>
          <t>S1109</t>
        </is>
      </c>
      <c r="B110" s="5" t="n">
        <v>8</v>
      </c>
      <c r="C110" s="5" t="n">
        <v>97</v>
      </c>
      <c r="D110" s="5" t="n">
        <v>77</v>
      </c>
      <c r="E110" s="5" t="n">
        <v>20</v>
      </c>
      <c r="F110" s="5" t="n">
        <v>79.40000000000001</v>
      </c>
    </row>
    <row r="111">
      <c r="A111" s="5" t="inlineStr">
        <is>
          <t>S1110</t>
        </is>
      </c>
      <c r="B111" s="5" t="n">
        <v>5</v>
      </c>
      <c r="C111" s="5" t="n">
        <v>129</v>
      </c>
      <c r="D111" s="5" t="n">
        <v>125</v>
      </c>
      <c r="E111" s="5" t="n">
        <v>4</v>
      </c>
      <c r="F111" s="5" t="n">
        <v>96.90000000000001</v>
      </c>
    </row>
    <row r="112">
      <c r="A112" s="5" t="inlineStr">
        <is>
          <t>S1111</t>
        </is>
      </c>
      <c r="B112" s="5" t="n">
        <v>5</v>
      </c>
      <c r="C112" s="5" t="n">
        <v>172</v>
      </c>
      <c r="D112" s="5" t="n">
        <v>168</v>
      </c>
      <c r="E112" s="5" t="n">
        <v>4</v>
      </c>
      <c r="F112" s="5" t="n">
        <v>97.7</v>
      </c>
    </row>
    <row r="113">
      <c r="A113" s="5" t="inlineStr">
        <is>
          <t>S1112</t>
        </is>
      </c>
      <c r="B113" s="5" t="n">
        <v>8</v>
      </c>
      <c r="C113" s="5" t="n">
        <v>131</v>
      </c>
      <c r="D113" s="5" t="n">
        <v>113</v>
      </c>
      <c r="E113" s="5" t="n">
        <v>18</v>
      </c>
      <c r="F113" s="5" t="n">
        <v>86.3</v>
      </c>
    </row>
    <row r="114">
      <c r="A114" s="5" t="inlineStr">
        <is>
          <t>S1113</t>
        </is>
      </c>
      <c r="B114" s="5" t="n">
        <v>5</v>
      </c>
      <c r="C114" s="5" t="n">
        <v>130</v>
      </c>
      <c r="D114" s="5" t="n">
        <v>117</v>
      </c>
      <c r="E114" s="5" t="n">
        <v>13</v>
      </c>
      <c r="F114" s="5" t="n">
        <v>90</v>
      </c>
    </row>
    <row r="115">
      <c r="A115" s="5" t="inlineStr">
        <is>
          <t>S1114</t>
        </is>
      </c>
      <c r="B115" s="5" t="n">
        <v>8</v>
      </c>
      <c r="C115" s="5" t="n">
        <v>95</v>
      </c>
      <c r="D115" s="5" t="n">
        <v>92</v>
      </c>
      <c r="E115" s="5" t="n">
        <v>3</v>
      </c>
      <c r="F115" s="5" t="n">
        <v>96.8</v>
      </c>
    </row>
    <row r="116">
      <c r="A116" s="5" t="inlineStr">
        <is>
          <t>S1115</t>
        </is>
      </c>
      <c r="B116" s="5" t="n">
        <v>7</v>
      </c>
      <c r="C116" s="5" t="n">
        <v>141</v>
      </c>
      <c r="D116" s="5" t="n">
        <v>129</v>
      </c>
      <c r="E116" s="5" t="n">
        <v>12</v>
      </c>
      <c r="F116" s="5" t="n">
        <v>91.5</v>
      </c>
    </row>
    <row r="117">
      <c r="A117" s="5" t="inlineStr">
        <is>
          <t>S1116</t>
        </is>
      </c>
      <c r="B117" s="5" t="n">
        <v>8</v>
      </c>
      <c r="C117" s="5" t="n">
        <v>115</v>
      </c>
      <c r="D117" s="5" t="n">
        <v>106</v>
      </c>
      <c r="E117" s="5" t="n">
        <v>9</v>
      </c>
      <c r="F117" s="5" t="n">
        <v>92.2</v>
      </c>
    </row>
    <row r="118">
      <c r="A118" s="5" t="inlineStr">
        <is>
          <t>S1117</t>
        </is>
      </c>
      <c r="B118" s="5" t="n">
        <v>7</v>
      </c>
      <c r="C118" s="5" t="n">
        <v>153</v>
      </c>
      <c r="D118" s="5" t="n">
        <v>136</v>
      </c>
      <c r="E118" s="5" t="n">
        <v>17</v>
      </c>
      <c r="F118" s="5" t="n">
        <v>88.90000000000001</v>
      </c>
    </row>
    <row r="119">
      <c r="A119" s="5" t="inlineStr">
        <is>
          <t>S1118</t>
        </is>
      </c>
      <c r="B119" s="5" t="n">
        <v>8</v>
      </c>
      <c r="C119" s="5" t="n">
        <v>148</v>
      </c>
      <c r="D119" s="5" t="n">
        <v>141</v>
      </c>
      <c r="E119" s="5" t="n">
        <v>7</v>
      </c>
      <c r="F119" s="5" t="n">
        <v>95.3</v>
      </c>
    </row>
    <row r="120">
      <c r="A120" s="5" t="inlineStr">
        <is>
          <t>S1119</t>
        </is>
      </c>
      <c r="B120" s="5" t="n">
        <v>5</v>
      </c>
      <c r="C120" s="5" t="n">
        <v>145</v>
      </c>
      <c r="D120" s="5" t="n">
        <v>138</v>
      </c>
      <c r="E120" s="5" t="n">
        <v>7</v>
      </c>
      <c r="F120" s="5" t="n">
        <v>95.2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B7C9D6"/>
    <outlinePr summaryBelow="1" summaryRight="1"/>
    <pageSetUpPr/>
  </sheetPr>
  <dimension ref="A1:F119"/>
  <sheetViews>
    <sheetView workbookViewId="0">
      <selection activeCell="D1" sqref="D1:D1048576"/>
    </sheetView>
  </sheetViews>
  <sheetFormatPr baseColWidth="8" defaultRowHeight="15"/>
  <cols>
    <col width="14.85546875" customWidth="1" style="27" min="1" max="1"/>
    <col width="14" customWidth="1" style="27" min="3" max="3"/>
    <col width="22.85546875" customWidth="1" style="10" min="4" max="4"/>
    <col width="16.140625" customWidth="1" style="27" min="6" max="6"/>
    <col width="15" customWidth="1" style="27" min="7" max="7"/>
    <col width="16.5703125" customWidth="1" style="27" min="8" max="8"/>
    <col width="20.5703125" customWidth="1" style="27" min="9" max="9"/>
  </cols>
  <sheetData>
    <row r="1">
      <c r="A1" s="4" t="inlineStr">
        <is>
          <t>Student_ID</t>
        </is>
      </c>
      <c r="B1" s="4" t="inlineStr">
        <is>
          <t>Grade</t>
        </is>
      </c>
      <c r="C1" s="4" t="inlineStr">
        <is>
          <t>Assessment</t>
        </is>
      </c>
      <c r="D1" s="9" t="inlineStr">
        <is>
          <t>Assessment_Date</t>
        </is>
      </c>
      <c r="E1" s="4" t="inlineStr">
        <is>
          <t>Score</t>
        </is>
      </c>
      <c r="F1" s="4" t="inlineStr">
        <is>
          <t>Benchmark</t>
        </is>
      </c>
    </row>
    <row r="2">
      <c r="A2" s="5" t="inlineStr">
        <is>
          <t>S1000</t>
        </is>
      </c>
      <c r="B2" s="5" t="n">
        <v>8</v>
      </c>
      <c r="C2" s="5" t="inlineStr">
        <is>
          <t>Science</t>
        </is>
      </c>
      <c r="D2" s="6" t="n">
        <v>46076</v>
      </c>
      <c r="E2" s="5" t="n">
        <v>92</v>
      </c>
      <c r="F2" s="5" t="inlineStr">
        <is>
          <t>Met</t>
        </is>
      </c>
    </row>
    <row r="3">
      <c r="A3" s="5" t="inlineStr">
        <is>
          <t>S1001</t>
        </is>
      </c>
      <c r="B3" s="5" t="n">
        <v>5</v>
      </c>
      <c r="C3" s="5" t="inlineStr">
        <is>
          <t>ELA</t>
        </is>
      </c>
      <c r="D3" s="6" t="n">
        <v>46051</v>
      </c>
      <c r="E3" s="5" t="n">
        <v>85</v>
      </c>
      <c r="F3" s="5" t="inlineStr">
        <is>
          <t>Met</t>
        </is>
      </c>
    </row>
    <row r="4">
      <c r="A4" s="5" t="inlineStr">
        <is>
          <t>S1002</t>
        </is>
      </c>
      <c r="B4" s="5" t="n">
        <v>7</v>
      </c>
      <c r="C4" s="5" t="inlineStr">
        <is>
          <t>Science</t>
        </is>
      </c>
      <c r="D4" s="6" t="n">
        <v>46057</v>
      </c>
      <c r="E4" s="5" t="n">
        <v>80</v>
      </c>
      <c r="F4" s="5" t="inlineStr">
        <is>
          <t>Met</t>
        </is>
      </c>
    </row>
    <row r="5">
      <c r="A5" s="5" t="inlineStr">
        <is>
          <t>S1003</t>
        </is>
      </c>
      <c r="B5" s="5" t="n">
        <v>8</v>
      </c>
      <c r="C5" s="5" t="inlineStr">
        <is>
          <t>Math</t>
        </is>
      </c>
      <c r="D5" s="6" t="n">
        <v>46083</v>
      </c>
      <c r="E5" s="5" t="n">
        <v>86</v>
      </c>
      <c r="F5" s="5" t="inlineStr">
        <is>
          <t>Met</t>
        </is>
      </c>
    </row>
    <row r="6">
      <c r="A6" s="5" t="inlineStr">
        <is>
          <t>S1004</t>
        </is>
      </c>
      <c r="B6" s="5" t="n">
        <v>5</v>
      </c>
      <c r="C6" s="5" t="inlineStr">
        <is>
          <t>ELA</t>
        </is>
      </c>
      <c r="D6" s="6" t="n">
        <v>46109</v>
      </c>
      <c r="E6" s="5" t="n">
        <v>82</v>
      </c>
      <c r="F6" s="5" t="inlineStr">
        <is>
          <t>Met</t>
        </is>
      </c>
    </row>
    <row r="7">
      <c r="A7" s="5" t="inlineStr">
        <is>
          <t>S1005</t>
        </is>
      </c>
      <c r="B7" s="5" t="n">
        <v>5</v>
      </c>
      <c r="C7" s="5" t="inlineStr">
        <is>
          <t>Math</t>
        </is>
      </c>
      <c r="D7" s="6" t="n">
        <v>46089</v>
      </c>
      <c r="E7" s="5" t="n">
        <v>79</v>
      </c>
      <c r="F7" s="5" t="inlineStr">
        <is>
          <t>Met</t>
        </is>
      </c>
    </row>
    <row r="8">
      <c r="A8" s="5" t="inlineStr">
        <is>
          <t>S1006</t>
        </is>
      </c>
      <c r="B8" s="5" t="n">
        <v>6</v>
      </c>
      <c r="C8" s="5" t="inlineStr">
        <is>
          <t>Science</t>
        </is>
      </c>
      <c r="D8" s="6" t="n">
        <v>46045</v>
      </c>
      <c r="E8" s="5" t="n">
        <v>58</v>
      </c>
      <c r="F8" s="5" t="inlineStr">
        <is>
          <t>Below</t>
        </is>
      </c>
    </row>
    <row r="9">
      <c r="A9" s="5" t="inlineStr">
        <is>
          <t>S1008</t>
        </is>
      </c>
      <c r="B9" s="5" t="n">
        <v>7</v>
      </c>
      <c r="C9" s="5" t="inlineStr">
        <is>
          <t>Science</t>
        </is>
      </c>
      <c r="D9" s="6" t="n">
        <v>46088</v>
      </c>
      <c r="E9" s="5" t="n">
        <v>70</v>
      </c>
      <c r="F9" s="5" t="inlineStr">
        <is>
          <t>Met</t>
        </is>
      </c>
    </row>
    <row r="10">
      <c r="A10" s="5" t="inlineStr">
        <is>
          <t>S1009</t>
        </is>
      </c>
      <c r="B10" s="5" t="n">
        <v>6</v>
      </c>
      <c r="C10" s="5" t="inlineStr">
        <is>
          <t>Math</t>
        </is>
      </c>
      <c r="D10" s="6" t="n">
        <v>46093</v>
      </c>
      <c r="E10" s="5" t="n">
        <v>89</v>
      </c>
      <c r="F10" s="5" t="inlineStr">
        <is>
          <t>Met</t>
        </is>
      </c>
    </row>
    <row r="11">
      <c r="A11" s="5" t="inlineStr">
        <is>
          <t>S1010</t>
        </is>
      </c>
      <c r="B11" s="5" t="n">
        <v>6</v>
      </c>
      <c r="C11" s="5" t="inlineStr">
        <is>
          <t>Math</t>
        </is>
      </c>
      <c r="D11" s="6" t="n">
        <v>46062</v>
      </c>
      <c r="E11" s="5" t="n">
        <v>90</v>
      </c>
      <c r="F11" s="5" t="inlineStr">
        <is>
          <t>Met</t>
        </is>
      </c>
    </row>
    <row r="12">
      <c r="A12" s="5" t="inlineStr">
        <is>
          <t>S1011</t>
        </is>
      </c>
      <c r="B12" s="5" t="n">
        <v>7</v>
      </c>
      <c r="C12" s="5" t="inlineStr">
        <is>
          <t>Math</t>
        </is>
      </c>
      <c r="D12" s="6" t="n">
        <v>46077</v>
      </c>
      <c r="E12" s="5" t="n">
        <v>68</v>
      </c>
      <c r="F12" s="5" t="inlineStr">
        <is>
          <t>Below</t>
        </is>
      </c>
    </row>
    <row r="13">
      <c r="A13" s="5" t="inlineStr">
        <is>
          <t>S1012</t>
        </is>
      </c>
      <c r="B13" s="5" t="n">
        <v>7</v>
      </c>
      <c r="C13" s="5" t="inlineStr">
        <is>
          <t>Math</t>
        </is>
      </c>
      <c r="D13" s="6" t="n">
        <v>46071</v>
      </c>
      <c r="E13" s="5" t="n">
        <v>87</v>
      </c>
      <c r="F13" s="5" t="inlineStr">
        <is>
          <t>Met</t>
        </is>
      </c>
    </row>
    <row r="14">
      <c r="A14" s="5" t="inlineStr">
        <is>
          <t>S1013</t>
        </is>
      </c>
      <c r="B14" s="5" t="n">
        <v>8</v>
      </c>
      <c r="C14" s="5" t="inlineStr">
        <is>
          <t>Science</t>
        </is>
      </c>
      <c r="D14" s="6" t="n">
        <v>46099</v>
      </c>
      <c r="E14" s="5" t="n">
        <v>72</v>
      </c>
      <c r="F14" s="5" t="inlineStr">
        <is>
          <t>Met</t>
        </is>
      </c>
    </row>
    <row r="15">
      <c r="A15" s="5" t="inlineStr">
        <is>
          <t>S1014</t>
        </is>
      </c>
      <c r="B15" s="5" t="n">
        <v>8</v>
      </c>
      <c r="C15" s="5" t="inlineStr">
        <is>
          <t>Science</t>
        </is>
      </c>
      <c r="D15" s="6" t="n">
        <v>46061</v>
      </c>
      <c r="E15" s="5" t="n">
        <v>72</v>
      </c>
      <c r="F15" s="5" t="inlineStr">
        <is>
          <t>Met</t>
        </is>
      </c>
    </row>
    <row r="16">
      <c r="A16" s="5" t="inlineStr">
        <is>
          <t>S1015</t>
        </is>
      </c>
      <c r="B16" s="5" t="n">
        <v>6</v>
      </c>
      <c r="C16" s="5" t="inlineStr">
        <is>
          <t>ELA</t>
        </is>
      </c>
      <c r="D16" s="6" t="n">
        <v>46126</v>
      </c>
      <c r="E16" s="5" t="n">
        <v>79</v>
      </c>
      <c r="F16" s="5" t="inlineStr">
        <is>
          <t>Met</t>
        </is>
      </c>
    </row>
    <row r="17">
      <c r="A17" s="5" t="inlineStr">
        <is>
          <t>S1016</t>
        </is>
      </c>
      <c r="B17" s="5" t="n">
        <v>8</v>
      </c>
      <c r="C17" s="5" t="inlineStr">
        <is>
          <t>ELA</t>
        </is>
      </c>
      <c r="D17" s="6" t="n">
        <v>46111</v>
      </c>
      <c r="E17" s="5" t="n">
        <v>79</v>
      </c>
      <c r="F17" s="5" t="inlineStr">
        <is>
          <t>Met</t>
        </is>
      </c>
    </row>
    <row r="18">
      <c r="A18" s="5" t="inlineStr">
        <is>
          <t>S1017</t>
        </is>
      </c>
      <c r="B18" s="5" t="n">
        <v>5</v>
      </c>
      <c r="C18" s="5" t="inlineStr">
        <is>
          <t>Math</t>
        </is>
      </c>
      <c r="D18" s="6" t="n">
        <v>46074</v>
      </c>
      <c r="E18" s="5" t="n">
        <v>76</v>
      </c>
      <c r="F18" s="5" t="inlineStr">
        <is>
          <t>Met</t>
        </is>
      </c>
    </row>
    <row r="19">
      <c r="A19" s="5" t="inlineStr">
        <is>
          <t>S1018</t>
        </is>
      </c>
      <c r="B19" s="5" t="n">
        <v>8</v>
      </c>
      <c r="C19" s="5" t="inlineStr">
        <is>
          <t>Science</t>
        </is>
      </c>
      <c r="D19" s="6" t="n">
        <v>46038</v>
      </c>
      <c r="E19" s="5" t="n">
        <v>60</v>
      </c>
      <c r="F19" s="5" t="inlineStr">
        <is>
          <t>Below</t>
        </is>
      </c>
    </row>
    <row r="20">
      <c r="A20" s="5" t="inlineStr">
        <is>
          <t>S1020</t>
        </is>
      </c>
      <c r="B20" s="5" t="n">
        <v>5</v>
      </c>
      <c r="C20" s="5" t="inlineStr">
        <is>
          <t>Science</t>
        </is>
      </c>
      <c r="D20" s="6" t="n">
        <v>46118</v>
      </c>
      <c r="E20" s="5" t="n">
        <v>100</v>
      </c>
      <c r="F20" s="5" t="inlineStr">
        <is>
          <t>Met</t>
        </is>
      </c>
    </row>
    <row r="21">
      <c r="A21" s="5" t="inlineStr">
        <is>
          <t>S1021</t>
        </is>
      </c>
      <c r="B21" s="5" t="n">
        <v>6</v>
      </c>
      <c r="C21" s="5" t="inlineStr">
        <is>
          <t>ELA</t>
        </is>
      </c>
      <c r="D21" s="6" t="n">
        <v>46070</v>
      </c>
      <c r="E21" s="5" t="n">
        <v>43</v>
      </c>
      <c r="F21" s="5" t="inlineStr">
        <is>
          <t>Below</t>
        </is>
      </c>
    </row>
    <row r="22">
      <c r="A22" s="5" t="inlineStr">
        <is>
          <t>S1022</t>
        </is>
      </c>
      <c r="B22" s="5" t="n">
        <v>5</v>
      </c>
      <c r="C22" s="5" t="inlineStr">
        <is>
          <t>ELA</t>
        </is>
      </c>
      <c r="D22" s="6" t="n">
        <v>46053</v>
      </c>
      <c r="E22" s="5" t="n">
        <v>86</v>
      </c>
      <c r="F22" s="5" t="inlineStr">
        <is>
          <t>Met</t>
        </is>
      </c>
    </row>
    <row r="23">
      <c r="A23" s="5" t="inlineStr">
        <is>
          <t>S1023</t>
        </is>
      </c>
      <c r="B23" s="5" t="n">
        <v>8</v>
      </c>
      <c r="C23" s="5" t="inlineStr">
        <is>
          <t>Science</t>
        </is>
      </c>
      <c r="D23" s="6" t="n">
        <v>46079</v>
      </c>
      <c r="E23" s="5" t="n">
        <v>89</v>
      </c>
      <c r="F23" s="5" t="inlineStr">
        <is>
          <t>Met</t>
        </is>
      </c>
    </row>
    <row r="24">
      <c r="A24" s="5" t="inlineStr">
        <is>
          <t>S1024</t>
        </is>
      </c>
      <c r="B24" s="5" t="n">
        <v>6</v>
      </c>
      <c r="C24" s="5" t="inlineStr">
        <is>
          <t>Science</t>
        </is>
      </c>
      <c r="D24" s="6" t="n">
        <v>46095</v>
      </c>
      <c r="E24" s="5" t="n">
        <v>60</v>
      </c>
      <c r="F24" s="5" t="inlineStr">
        <is>
          <t>Below</t>
        </is>
      </c>
    </row>
    <row r="25">
      <c r="A25" s="5" t="inlineStr">
        <is>
          <t>S1025</t>
        </is>
      </c>
      <c r="B25" s="5" t="n">
        <v>8</v>
      </c>
      <c r="C25" s="5" t="inlineStr">
        <is>
          <t>Science</t>
        </is>
      </c>
      <c r="D25" s="6" t="n">
        <v>46087</v>
      </c>
      <c r="E25" s="5" t="n">
        <v>70</v>
      </c>
      <c r="F25" s="5" t="inlineStr">
        <is>
          <t>Met</t>
        </is>
      </c>
    </row>
    <row r="26">
      <c r="A26" s="5" t="inlineStr">
        <is>
          <t>S1026</t>
        </is>
      </c>
      <c r="B26" s="5" t="n">
        <v>5</v>
      </c>
      <c r="C26" s="5" t="inlineStr">
        <is>
          <t>ELA</t>
        </is>
      </c>
      <c r="D26" s="6" t="n">
        <v>46090</v>
      </c>
      <c r="E26" s="5" t="n">
        <v>64</v>
      </c>
      <c r="F26" s="5" t="inlineStr">
        <is>
          <t>Below</t>
        </is>
      </c>
    </row>
    <row r="27">
      <c r="A27" s="5" t="inlineStr">
        <is>
          <t>S1027</t>
        </is>
      </c>
      <c r="B27" s="5" t="n">
        <v>5</v>
      </c>
      <c r="C27" s="5" t="inlineStr">
        <is>
          <t>Science</t>
        </is>
      </c>
      <c r="D27" s="6" t="n">
        <v>46060</v>
      </c>
      <c r="E27" s="5" t="n">
        <v>98</v>
      </c>
      <c r="F27" s="5" t="inlineStr">
        <is>
          <t>Met</t>
        </is>
      </c>
    </row>
    <row r="28">
      <c r="A28" s="5" t="inlineStr">
        <is>
          <t>S1028</t>
        </is>
      </c>
      <c r="B28" s="5" t="n">
        <v>8</v>
      </c>
      <c r="C28" s="5" t="inlineStr">
        <is>
          <t>Science</t>
        </is>
      </c>
      <c r="D28" s="6" t="n">
        <v>46061</v>
      </c>
      <c r="E28" s="5" t="n">
        <v>89</v>
      </c>
      <c r="F28" s="5" t="inlineStr">
        <is>
          <t>Met</t>
        </is>
      </c>
    </row>
    <row r="29">
      <c r="A29" s="5" t="inlineStr">
        <is>
          <t>S1029</t>
        </is>
      </c>
      <c r="B29" s="5" t="n">
        <v>7</v>
      </c>
      <c r="C29" s="5" t="inlineStr">
        <is>
          <t>Math</t>
        </is>
      </c>
      <c r="D29" s="6" t="n">
        <v>46107</v>
      </c>
      <c r="E29" s="5" t="n">
        <v>90</v>
      </c>
      <c r="F29" s="5" t="inlineStr">
        <is>
          <t>met</t>
        </is>
      </c>
    </row>
    <row r="30">
      <c r="A30" s="5" t="inlineStr">
        <is>
          <t>S1030</t>
        </is>
      </c>
      <c r="B30" s="5" t="n">
        <v>7</v>
      </c>
      <c r="C30" s="5" t="inlineStr">
        <is>
          <t>Math</t>
        </is>
      </c>
      <c r="D30" s="6" t="n">
        <v>46088</v>
      </c>
      <c r="E30" s="5" t="n">
        <v>77</v>
      </c>
      <c r="F30" s="5" t="inlineStr">
        <is>
          <t>Met</t>
        </is>
      </c>
    </row>
    <row r="31">
      <c r="A31" s="5" t="inlineStr">
        <is>
          <t>S1031</t>
        </is>
      </c>
      <c r="B31" s="5" t="n">
        <v>5</v>
      </c>
      <c r="C31" s="5" t="inlineStr">
        <is>
          <t>ELA</t>
        </is>
      </c>
      <c r="D31" s="6" t="n">
        <v>46106</v>
      </c>
      <c r="E31" s="5" t="n">
        <v>92</v>
      </c>
      <c r="F31" s="5" t="inlineStr">
        <is>
          <t>Met</t>
        </is>
      </c>
    </row>
    <row r="32">
      <c r="A32" s="5" t="inlineStr">
        <is>
          <t>S1032</t>
        </is>
      </c>
      <c r="B32" s="5" t="n">
        <v>5</v>
      </c>
      <c r="C32" s="5" t="inlineStr">
        <is>
          <t>Science</t>
        </is>
      </c>
      <c r="D32" s="6" t="n">
        <v>46124</v>
      </c>
      <c r="E32" s="5" t="n">
        <v>76</v>
      </c>
      <c r="F32" s="5" t="inlineStr">
        <is>
          <t>Met</t>
        </is>
      </c>
    </row>
    <row r="33">
      <c r="A33" s="5" t="inlineStr">
        <is>
          <t>S1033</t>
        </is>
      </c>
      <c r="B33" s="5" t="n">
        <v>7</v>
      </c>
      <c r="C33" s="5" t="inlineStr">
        <is>
          <t>Science</t>
        </is>
      </c>
      <c r="D33" s="6" t="n">
        <v>46069</v>
      </c>
      <c r="E33" s="5" t="n">
        <v>92</v>
      </c>
      <c r="F33" s="5" t="inlineStr">
        <is>
          <t>Met</t>
        </is>
      </c>
    </row>
    <row r="34">
      <c r="A34" s="5" t="inlineStr">
        <is>
          <t>S1034</t>
        </is>
      </c>
      <c r="B34" s="5" t="n">
        <v>7</v>
      </c>
      <c r="C34" s="5" t="inlineStr">
        <is>
          <t>Math</t>
        </is>
      </c>
      <c r="D34" s="6" t="n">
        <v>46085</v>
      </c>
      <c r="E34" s="5" t="n">
        <v>74</v>
      </c>
      <c r="F34" s="5" t="inlineStr">
        <is>
          <t>Met</t>
        </is>
      </c>
    </row>
    <row r="35">
      <c r="A35" s="5" t="inlineStr">
        <is>
          <t>S1035</t>
        </is>
      </c>
      <c r="B35" s="5" t="n">
        <v>8</v>
      </c>
      <c r="C35" s="5" t="inlineStr">
        <is>
          <t>ELA</t>
        </is>
      </c>
      <c r="D35" s="6" t="n">
        <v>46065</v>
      </c>
      <c r="E35" s="5" t="n">
        <v>68</v>
      </c>
      <c r="F35" s="5" t="inlineStr">
        <is>
          <t>Below</t>
        </is>
      </c>
    </row>
    <row r="36">
      <c r="A36" s="5" t="inlineStr">
        <is>
          <t>S1036</t>
        </is>
      </c>
      <c r="B36" s="5" t="n">
        <v>8</v>
      </c>
      <c r="C36" s="5" t="inlineStr">
        <is>
          <t>Math</t>
        </is>
      </c>
      <c r="D36" s="6" t="n">
        <v>46099</v>
      </c>
      <c r="E36" s="5" t="n">
        <v>98</v>
      </c>
      <c r="F36" s="5" t="inlineStr">
        <is>
          <t>Met</t>
        </is>
      </c>
    </row>
    <row r="37">
      <c r="A37" s="5" t="inlineStr">
        <is>
          <t>S1037</t>
        </is>
      </c>
      <c r="B37" s="5" t="n">
        <v>7</v>
      </c>
      <c r="C37" s="5" t="inlineStr">
        <is>
          <t>Math</t>
        </is>
      </c>
      <c r="D37" s="6" t="n">
        <v>46058</v>
      </c>
      <c r="E37" s="5" t="n">
        <v>76</v>
      </c>
      <c r="F37" s="5" t="inlineStr">
        <is>
          <t>Met</t>
        </is>
      </c>
    </row>
    <row r="38">
      <c r="A38" s="5" t="inlineStr">
        <is>
          <t>S1038</t>
        </is>
      </c>
      <c r="B38" s="5" t="n">
        <v>8</v>
      </c>
      <c r="C38" s="5" t="inlineStr">
        <is>
          <t>Math</t>
        </is>
      </c>
      <c r="D38" s="6" t="n">
        <v>46062</v>
      </c>
      <c r="E38" s="5" t="n">
        <v>65</v>
      </c>
      <c r="F38" s="5" t="inlineStr">
        <is>
          <t>Below</t>
        </is>
      </c>
    </row>
    <row r="39">
      <c r="A39" s="5" t="inlineStr">
        <is>
          <t>S1039</t>
        </is>
      </c>
      <c r="B39" s="5" t="n">
        <v>8</v>
      </c>
      <c r="C39" s="5" t="inlineStr">
        <is>
          <t>Math</t>
        </is>
      </c>
      <c r="D39" s="6" t="n">
        <v>46064</v>
      </c>
      <c r="E39" s="5" t="n">
        <v>65</v>
      </c>
      <c r="F39" s="5" t="inlineStr">
        <is>
          <t>Below</t>
        </is>
      </c>
    </row>
    <row r="40">
      <c r="A40" s="5" t="inlineStr">
        <is>
          <t>S1040</t>
        </is>
      </c>
      <c r="B40" s="5" t="n">
        <v>6</v>
      </c>
      <c r="C40" s="5" t="inlineStr">
        <is>
          <t>Science</t>
        </is>
      </c>
      <c r="D40" s="6" t="n">
        <v>46121</v>
      </c>
      <c r="E40" s="5" t="n">
        <v>65</v>
      </c>
      <c r="F40" s="5" t="inlineStr">
        <is>
          <t>Below</t>
        </is>
      </c>
    </row>
    <row r="41">
      <c r="A41" s="5" t="inlineStr">
        <is>
          <t>S1041</t>
        </is>
      </c>
      <c r="B41" s="5" t="n">
        <v>8</v>
      </c>
      <c r="C41" s="5" t="inlineStr">
        <is>
          <t>Science</t>
        </is>
      </c>
      <c r="D41" s="6" t="n">
        <v>46085</v>
      </c>
      <c r="E41" s="5" t="n">
        <v>86</v>
      </c>
      <c r="F41" s="5" t="inlineStr">
        <is>
          <t>Met</t>
        </is>
      </c>
    </row>
    <row r="42">
      <c r="A42" s="5" t="inlineStr">
        <is>
          <t>S1042</t>
        </is>
      </c>
      <c r="B42" s="5" t="n">
        <v>5</v>
      </c>
      <c r="C42" s="5" t="inlineStr">
        <is>
          <t>Math</t>
        </is>
      </c>
      <c r="D42" s="6" t="n">
        <v>46107</v>
      </c>
      <c r="E42" s="5" t="n">
        <v>75</v>
      </c>
      <c r="F42" s="5" t="inlineStr">
        <is>
          <t>Met</t>
        </is>
      </c>
    </row>
    <row r="43">
      <c r="A43" s="5" t="inlineStr">
        <is>
          <t>S1043</t>
        </is>
      </c>
      <c r="B43" s="5" t="n">
        <v>8</v>
      </c>
      <c r="C43" s="5" t="inlineStr">
        <is>
          <t>ELA</t>
        </is>
      </c>
      <c r="D43" s="6" t="n">
        <v>46117</v>
      </c>
      <c r="E43" s="5" t="n">
        <v>100</v>
      </c>
      <c r="F43" s="5" t="inlineStr">
        <is>
          <t>Met</t>
        </is>
      </c>
    </row>
    <row r="44">
      <c r="A44" s="5" t="inlineStr">
        <is>
          <t>S8888</t>
        </is>
      </c>
      <c r="B44" s="5" t="n">
        <v>8</v>
      </c>
      <c r="C44" s="5" t="inlineStr">
        <is>
          <t>ELA</t>
        </is>
      </c>
      <c r="D44" s="6" t="n">
        <v>46120</v>
      </c>
      <c r="E44" s="5" t="n">
        <v>90</v>
      </c>
      <c r="F44" s="5" t="inlineStr">
        <is>
          <t>Met</t>
        </is>
      </c>
    </row>
    <row r="45">
      <c r="A45" s="5" t="inlineStr">
        <is>
          <t>S1045</t>
        </is>
      </c>
      <c r="B45" s="5" t="n">
        <v>7</v>
      </c>
      <c r="C45" s="5" t="inlineStr">
        <is>
          <t>ELA</t>
        </is>
      </c>
      <c r="D45" s="6" t="n">
        <v>46085</v>
      </c>
      <c r="E45" s="5" t="n">
        <v>79</v>
      </c>
      <c r="F45" s="5" t="inlineStr">
        <is>
          <t>Met</t>
        </is>
      </c>
    </row>
    <row r="46">
      <c r="A46" s="5" t="inlineStr">
        <is>
          <t>S1046</t>
        </is>
      </c>
      <c r="B46" s="5" t="n">
        <v>5</v>
      </c>
      <c r="C46" s="5" t="inlineStr">
        <is>
          <t>ELA</t>
        </is>
      </c>
      <c r="D46" s="6" t="n">
        <v>46056</v>
      </c>
      <c r="E46" s="5" t="n">
        <v>93</v>
      </c>
      <c r="F46" s="5" t="inlineStr">
        <is>
          <t>Met</t>
        </is>
      </c>
    </row>
    <row r="47">
      <c r="A47" s="5" t="inlineStr">
        <is>
          <t>S1047</t>
        </is>
      </c>
      <c r="B47" s="5" t="n">
        <v>8</v>
      </c>
      <c r="C47" s="5" t="inlineStr">
        <is>
          <t>Math</t>
        </is>
      </c>
      <c r="D47" s="6" t="n">
        <v>46122</v>
      </c>
      <c r="E47" s="5" t="n">
        <v>70</v>
      </c>
      <c r="F47" s="5" t="inlineStr">
        <is>
          <t>Met</t>
        </is>
      </c>
    </row>
    <row r="48">
      <c r="A48" s="5" t="inlineStr">
        <is>
          <t>S1048</t>
        </is>
      </c>
      <c r="B48" s="5" t="n">
        <v>8</v>
      </c>
      <c r="C48" s="5" t="inlineStr">
        <is>
          <t>Science</t>
        </is>
      </c>
      <c r="D48" s="6" t="n">
        <v>46099</v>
      </c>
      <c r="E48" s="5" t="n">
        <v>54</v>
      </c>
      <c r="F48" s="5" t="inlineStr">
        <is>
          <t>Below</t>
        </is>
      </c>
    </row>
    <row r="49">
      <c r="A49" s="5" t="inlineStr">
        <is>
          <t>S1049</t>
        </is>
      </c>
      <c r="B49" s="5" t="n">
        <v>6</v>
      </c>
      <c r="C49" s="5" t="inlineStr">
        <is>
          <t>ELA</t>
        </is>
      </c>
      <c r="D49" s="6" t="n">
        <v>46097</v>
      </c>
      <c r="E49" s="5" t="n">
        <v>64</v>
      </c>
      <c r="F49" s="5" t="inlineStr">
        <is>
          <t>Below</t>
        </is>
      </c>
    </row>
    <row r="50">
      <c r="A50" s="5" t="inlineStr">
        <is>
          <t>S1050</t>
        </is>
      </c>
      <c r="B50" s="5" t="n">
        <v>8</v>
      </c>
      <c r="C50" s="5" t="inlineStr">
        <is>
          <t>Math</t>
        </is>
      </c>
      <c r="D50" s="6" t="n">
        <v>46085</v>
      </c>
      <c r="E50" s="5" t="n">
        <v>78</v>
      </c>
      <c r="F50" s="5" t="inlineStr">
        <is>
          <t>Met</t>
        </is>
      </c>
    </row>
    <row r="51">
      <c r="A51" s="5" t="inlineStr">
        <is>
          <t>S1051</t>
        </is>
      </c>
      <c r="B51" s="5" t="n">
        <v>8</v>
      </c>
      <c r="C51" s="5" t="inlineStr">
        <is>
          <t>ELA</t>
        </is>
      </c>
      <c r="D51" s="6" t="n">
        <v>46107</v>
      </c>
      <c r="E51" s="5" t="n">
        <v>73</v>
      </c>
      <c r="F51" s="5" t="inlineStr">
        <is>
          <t>Met</t>
        </is>
      </c>
    </row>
    <row r="52">
      <c r="A52" s="5" t="inlineStr">
        <is>
          <t>S1052</t>
        </is>
      </c>
      <c r="B52" s="5" t="n">
        <v>6</v>
      </c>
      <c r="C52" s="5" t="inlineStr">
        <is>
          <t>ELA</t>
        </is>
      </c>
      <c r="D52" s="6" t="n">
        <v>46037</v>
      </c>
      <c r="E52" s="5" t="n">
        <v>86</v>
      </c>
      <c r="F52" s="5" t="inlineStr">
        <is>
          <t>Met</t>
        </is>
      </c>
    </row>
    <row r="53">
      <c r="A53" s="5" t="inlineStr">
        <is>
          <t>S1053</t>
        </is>
      </c>
      <c r="B53" s="5" t="n">
        <v>7</v>
      </c>
      <c r="C53" s="5" t="inlineStr">
        <is>
          <t>Math</t>
        </is>
      </c>
      <c r="D53" s="6" t="n">
        <v>46049</v>
      </c>
      <c r="E53" s="5" t="n">
        <v>75</v>
      </c>
      <c r="F53" s="5" t="inlineStr">
        <is>
          <t>Met</t>
        </is>
      </c>
    </row>
    <row r="54">
      <c r="A54" s="5" t="inlineStr">
        <is>
          <t>S1054</t>
        </is>
      </c>
      <c r="B54" s="5" t="n">
        <v>8</v>
      </c>
      <c r="C54" s="5" t="inlineStr">
        <is>
          <t>Science</t>
        </is>
      </c>
      <c r="D54" s="6" t="n">
        <v>46123</v>
      </c>
      <c r="E54" s="5" t="n">
        <v>85</v>
      </c>
      <c r="F54" s="5" t="inlineStr">
        <is>
          <t>Met</t>
        </is>
      </c>
    </row>
    <row r="55">
      <c r="A55" s="5" t="inlineStr">
        <is>
          <t>S1055</t>
        </is>
      </c>
      <c r="B55" s="5" t="n">
        <v>6</v>
      </c>
      <c r="C55" s="5" t="inlineStr">
        <is>
          <t>Science</t>
        </is>
      </c>
      <c r="D55" s="6" t="n">
        <v>46087</v>
      </c>
      <c r="E55" s="5" t="n">
        <v>94</v>
      </c>
      <c r="F55" s="5" t="inlineStr">
        <is>
          <t>Met</t>
        </is>
      </c>
    </row>
    <row r="56">
      <c r="A56" s="5" t="inlineStr">
        <is>
          <t>S1056</t>
        </is>
      </c>
      <c r="B56" s="5" t="n">
        <v>5</v>
      </c>
      <c r="C56" s="5" t="inlineStr">
        <is>
          <t>Math</t>
        </is>
      </c>
      <c r="D56" s="6" t="n">
        <v>46092</v>
      </c>
      <c r="E56" s="5" t="n">
        <v>74</v>
      </c>
      <c r="F56" s="5" t="inlineStr">
        <is>
          <t>Met</t>
        </is>
      </c>
    </row>
    <row r="57">
      <c r="A57" s="5" t="inlineStr">
        <is>
          <t>S1057</t>
        </is>
      </c>
      <c r="B57" s="5" t="n">
        <v>7</v>
      </c>
      <c r="C57" s="5" t="inlineStr">
        <is>
          <t>Science</t>
        </is>
      </c>
      <c r="D57" s="6" t="n">
        <v>46119</v>
      </c>
      <c r="E57" s="5" t="n">
        <v>83</v>
      </c>
      <c r="F57" s="5" t="inlineStr">
        <is>
          <t>Met</t>
        </is>
      </c>
    </row>
    <row r="58">
      <c r="A58" s="5" t="inlineStr">
        <is>
          <t>S1058</t>
        </is>
      </c>
      <c r="B58" s="5" t="n">
        <v>5</v>
      </c>
      <c r="C58" s="5" t="inlineStr">
        <is>
          <t>Math</t>
        </is>
      </c>
      <c r="D58" s="6" t="n">
        <v>46098</v>
      </c>
      <c r="E58" s="5" t="n">
        <v>55</v>
      </c>
      <c r="F58" s="5" t="inlineStr">
        <is>
          <t>Below</t>
        </is>
      </c>
    </row>
    <row r="59">
      <c r="A59" s="5" t="inlineStr">
        <is>
          <t>S1059</t>
        </is>
      </c>
      <c r="B59" s="5" t="n">
        <v>5</v>
      </c>
      <c r="C59" s="5" t="inlineStr">
        <is>
          <t>Math</t>
        </is>
      </c>
      <c r="D59" s="6" t="n">
        <v>46068</v>
      </c>
      <c r="E59" s="5" t="n">
        <v>75</v>
      </c>
      <c r="F59" s="5" t="inlineStr">
        <is>
          <t>Met</t>
        </is>
      </c>
    </row>
    <row r="60">
      <c r="A60" s="5" t="inlineStr">
        <is>
          <t>S1060</t>
        </is>
      </c>
      <c r="B60" s="5" t="n">
        <v>6</v>
      </c>
      <c r="C60" s="5" t="inlineStr">
        <is>
          <t>Math</t>
        </is>
      </c>
      <c r="D60" s="6" t="n">
        <v>46066</v>
      </c>
      <c r="E60" s="5" t="n">
        <v>61</v>
      </c>
      <c r="F60" s="5" t="inlineStr">
        <is>
          <t>Below</t>
        </is>
      </c>
    </row>
    <row r="61">
      <c r="A61" s="5" t="inlineStr">
        <is>
          <t>S1061</t>
        </is>
      </c>
      <c r="B61" s="5" t="n">
        <v>8</v>
      </c>
      <c r="C61" s="5" t="inlineStr">
        <is>
          <t>Science</t>
        </is>
      </c>
      <c r="D61" s="6" t="n">
        <v>46065</v>
      </c>
      <c r="E61" s="5" t="n">
        <v>78</v>
      </c>
      <c r="F61" s="5" t="inlineStr">
        <is>
          <t>Met</t>
        </is>
      </c>
    </row>
    <row r="62">
      <c r="A62" s="5" t="inlineStr">
        <is>
          <t>S1062</t>
        </is>
      </c>
      <c r="B62" s="5" t="n">
        <v>6</v>
      </c>
      <c r="C62" s="5" t="inlineStr">
        <is>
          <t>Math</t>
        </is>
      </c>
      <c r="D62" s="6" t="n">
        <v>46085</v>
      </c>
      <c r="E62" s="5" t="n">
        <v>79</v>
      </c>
      <c r="F62" s="5" t="inlineStr">
        <is>
          <t>Met</t>
        </is>
      </c>
    </row>
    <row r="63">
      <c r="A63" s="5" t="inlineStr">
        <is>
          <t>S1063</t>
        </is>
      </c>
      <c r="B63" s="5" t="n">
        <v>6</v>
      </c>
      <c r="C63" s="5" t="inlineStr">
        <is>
          <t>ELA</t>
        </is>
      </c>
      <c r="D63" s="6" t="n">
        <v>46081</v>
      </c>
      <c r="E63" s="5" t="n">
        <v>79</v>
      </c>
      <c r="F63" s="5" t="inlineStr">
        <is>
          <t>Met</t>
        </is>
      </c>
    </row>
    <row r="64">
      <c r="A64" s="5" t="inlineStr">
        <is>
          <t>S1064</t>
        </is>
      </c>
      <c r="B64" s="5" t="n">
        <v>6</v>
      </c>
      <c r="C64" s="5" t="inlineStr">
        <is>
          <t>Science</t>
        </is>
      </c>
      <c r="D64" s="6" t="n">
        <v>46066</v>
      </c>
      <c r="E64" s="5" t="n">
        <v>70</v>
      </c>
      <c r="F64" s="5" t="inlineStr">
        <is>
          <t>Met</t>
        </is>
      </c>
    </row>
    <row r="65">
      <c r="A65" s="5" t="inlineStr">
        <is>
          <t>S1065</t>
        </is>
      </c>
      <c r="B65" s="5" t="n">
        <v>6</v>
      </c>
      <c r="C65" s="5" t="inlineStr">
        <is>
          <t>Science</t>
        </is>
      </c>
      <c r="D65" s="6" t="n">
        <v>46052</v>
      </c>
      <c r="E65" s="5" t="n">
        <v>100</v>
      </c>
      <c r="F65" s="5" t="inlineStr">
        <is>
          <t>Met</t>
        </is>
      </c>
    </row>
    <row r="66">
      <c r="A66" s="5" t="inlineStr">
        <is>
          <t>S1066</t>
        </is>
      </c>
      <c r="B66" s="5" t="n">
        <v>7</v>
      </c>
      <c r="C66" s="5" t="inlineStr">
        <is>
          <t>Science</t>
        </is>
      </c>
      <c r="D66" s="6" t="n">
        <v>46076</v>
      </c>
      <c r="E66" s="5" t="n">
        <v>61</v>
      </c>
      <c r="F66" s="5" t="inlineStr">
        <is>
          <t>Below</t>
        </is>
      </c>
    </row>
    <row r="67">
      <c r="A67" s="5" t="inlineStr">
        <is>
          <t>S1067</t>
        </is>
      </c>
      <c r="B67" s="5" t="n">
        <v>8</v>
      </c>
      <c r="C67" s="5" t="inlineStr">
        <is>
          <t>Science</t>
        </is>
      </c>
      <c r="D67" s="6" t="n">
        <v>46055</v>
      </c>
      <c r="E67" s="5" t="n">
        <v>60</v>
      </c>
      <c r="F67" s="5" t="inlineStr">
        <is>
          <t>Below</t>
        </is>
      </c>
    </row>
    <row r="68">
      <c r="A68" s="5" t="inlineStr">
        <is>
          <t>S1068</t>
        </is>
      </c>
      <c r="B68" s="5" t="n">
        <v>5</v>
      </c>
      <c r="C68" s="5" t="inlineStr">
        <is>
          <t>ELA</t>
        </is>
      </c>
      <c r="D68" s="6" t="n">
        <v>46054</v>
      </c>
      <c r="E68" s="5" t="n">
        <v>96</v>
      </c>
      <c r="F68" s="5" t="inlineStr">
        <is>
          <t>Met</t>
        </is>
      </c>
    </row>
    <row r="69">
      <c r="A69" s="5" t="inlineStr">
        <is>
          <t>S1069</t>
        </is>
      </c>
      <c r="B69" s="5" t="n">
        <v>5</v>
      </c>
      <c r="C69" s="5" t="inlineStr">
        <is>
          <t>Science</t>
        </is>
      </c>
      <c r="D69" s="6" t="n">
        <v>46037</v>
      </c>
      <c r="E69" s="5" t="n">
        <v>68</v>
      </c>
      <c r="F69" s="5" t="inlineStr">
        <is>
          <t>Below</t>
        </is>
      </c>
    </row>
    <row r="70">
      <c r="A70" s="5" t="inlineStr">
        <is>
          <t>S1070</t>
        </is>
      </c>
      <c r="B70" s="5" t="n">
        <v>8</v>
      </c>
      <c r="C70" s="5" t="inlineStr">
        <is>
          <t>Science</t>
        </is>
      </c>
      <c r="D70" s="6" t="n">
        <v>46114</v>
      </c>
      <c r="E70" s="5" t="n">
        <v>65</v>
      </c>
      <c r="F70" s="5" t="inlineStr">
        <is>
          <t>Below</t>
        </is>
      </c>
    </row>
    <row r="71">
      <c r="A71" s="5" t="inlineStr">
        <is>
          <t>S1071</t>
        </is>
      </c>
      <c r="B71" s="5" t="n">
        <v>5</v>
      </c>
      <c r="C71" s="5" t="inlineStr">
        <is>
          <t>Math</t>
        </is>
      </c>
      <c r="D71" s="6" t="n">
        <v>46083</v>
      </c>
      <c r="E71" s="5" t="n">
        <v>100</v>
      </c>
      <c r="F71" s="5" t="inlineStr">
        <is>
          <t>Met</t>
        </is>
      </c>
    </row>
    <row r="72">
      <c r="A72" s="5" t="inlineStr">
        <is>
          <t>S1072</t>
        </is>
      </c>
      <c r="B72" s="5" t="n">
        <v>8</v>
      </c>
      <c r="C72" s="5" t="inlineStr">
        <is>
          <t>Science</t>
        </is>
      </c>
      <c r="D72" s="6" t="n">
        <v>46102</v>
      </c>
      <c r="E72" s="5" t="n">
        <v>88</v>
      </c>
      <c r="F72" s="5" t="inlineStr">
        <is>
          <t>Met</t>
        </is>
      </c>
    </row>
    <row r="73">
      <c r="A73" s="5" t="inlineStr">
        <is>
          <t>S1073</t>
        </is>
      </c>
      <c r="B73" s="5" t="n">
        <v>5</v>
      </c>
      <c r="C73" s="5" t="inlineStr">
        <is>
          <t>ELA</t>
        </is>
      </c>
      <c r="D73" s="6" t="n">
        <v>46074</v>
      </c>
      <c r="E73" s="5" t="n">
        <v>69</v>
      </c>
      <c r="F73" s="5" t="inlineStr">
        <is>
          <t>Below</t>
        </is>
      </c>
    </row>
    <row r="74">
      <c r="A74" s="5" t="inlineStr">
        <is>
          <t>S1074</t>
        </is>
      </c>
      <c r="B74" s="5" t="n">
        <v>6</v>
      </c>
      <c r="C74" s="5" t="inlineStr">
        <is>
          <t>ELA</t>
        </is>
      </c>
      <c r="D74" s="6" t="n">
        <v>46087</v>
      </c>
      <c r="E74" s="5" t="n">
        <v>79</v>
      </c>
      <c r="F74" s="5" t="inlineStr">
        <is>
          <t>Met</t>
        </is>
      </c>
    </row>
    <row r="75">
      <c r="A75" s="5" t="inlineStr">
        <is>
          <t>S1075</t>
        </is>
      </c>
      <c r="B75" s="5" t="n">
        <v>5</v>
      </c>
      <c r="C75" s="5" t="inlineStr">
        <is>
          <t>ELA</t>
        </is>
      </c>
      <c r="D75" s="6" t="n">
        <v>46099</v>
      </c>
      <c r="E75" s="5" t="n">
        <v>99</v>
      </c>
      <c r="F75" s="5" t="inlineStr">
        <is>
          <t>Met</t>
        </is>
      </c>
    </row>
    <row r="76">
      <c r="A76" s="5" t="inlineStr">
        <is>
          <t>S1076</t>
        </is>
      </c>
      <c r="B76" s="5" t="n">
        <v>8</v>
      </c>
      <c r="C76" s="5" t="inlineStr">
        <is>
          <t>ELA</t>
        </is>
      </c>
      <c r="D76" s="6" t="n">
        <v>46040</v>
      </c>
      <c r="E76" s="5" t="n">
        <v>84</v>
      </c>
      <c r="F76" s="5" t="inlineStr">
        <is>
          <t>Met</t>
        </is>
      </c>
    </row>
    <row r="77">
      <c r="A77" s="5" t="inlineStr">
        <is>
          <t>S1077</t>
        </is>
      </c>
      <c r="B77" s="5" t="n">
        <v>8</v>
      </c>
      <c r="C77" s="5" t="inlineStr">
        <is>
          <t>Science</t>
        </is>
      </c>
      <c r="D77" s="6" t="n">
        <v>46037</v>
      </c>
      <c r="E77" s="5" t="n">
        <v>91</v>
      </c>
      <c r="F77" s="5" t="inlineStr">
        <is>
          <t>Met</t>
        </is>
      </c>
    </row>
    <row r="78">
      <c r="A78" s="5" t="inlineStr">
        <is>
          <t>S1078</t>
        </is>
      </c>
      <c r="B78" s="5" t="n">
        <v>8</v>
      </c>
      <c r="C78" s="5" t="inlineStr">
        <is>
          <t>Science</t>
        </is>
      </c>
      <c r="D78" s="6" t="n">
        <v>46044</v>
      </c>
      <c r="E78" s="5" t="n">
        <v>86</v>
      </c>
      <c r="F78" s="5" t="inlineStr">
        <is>
          <t>Met</t>
        </is>
      </c>
    </row>
    <row r="79">
      <c r="A79" s="5" t="inlineStr">
        <is>
          <t>S1079</t>
        </is>
      </c>
      <c r="B79" s="5" t="n">
        <v>8</v>
      </c>
      <c r="C79" s="5" t="inlineStr">
        <is>
          <t>ELA</t>
        </is>
      </c>
      <c r="D79" s="6" t="n">
        <v>46065</v>
      </c>
      <c r="E79" s="5" t="n">
        <v>87</v>
      </c>
      <c r="F79" s="5" t="inlineStr">
        <is>
          <t>Met</t>
        </is>
      </c>
    </row>
    <row r="80">
      <c r="A80" s="5" t="inlineStr">
        <is>
          <t>S1080</t>
        </is>
      </c>
      <c r="B80" s="5" t="n">
        <v>8</v>
      </c>
      <c r="C80" s="5" t="inlineStr">
        <is>
          <t>ELA</t>
        </is>
      </c>
      <c r="D80" s="6" t="n">
        <v>46091</v>
      </c>
      <c r="E80" s="5" t="n">
        <v>76</v>
      </c>
      <c r="F80" s="5" t="inlineStr">
        <is>
          <t>Met</t>
        </is>
      </c>
    </row>
    <row r="81">
      <c r="A81" s="5" t="inlineStr">
        <is>
          <t>S1081</t>
        </is>
      </c>
      <c r="B81" s="5" t="n">
        <v>7</v>
      </c>
      <c r="C81" s="5" t="inlineStr">
        <is>
          <t>Science</t>
        </is>
      </c>
      <c r="D81" s="6" t="n">
        <v>46039</v>
      </c>
      <c r="E81" s="5" t="n">
        <v>76</v>
      </c>
      <c r="F81" s="5" t="inlineStr">
        <is>
          <t>Met</t>
        </is>
      </c>
    </row>
    <row r="82">
      <c r="A82" s="5" t="inlineStr">
        <is>
          <t>S1082</t>
        </is>
      </c>
      <c r="B82" s="5" t="n">
        <v>7</v>
      </c>
      <c r="C82" s="5" t="inlineStr">
        <is>
          <t>ELA</t>
        </is>
      </c>
      <c r="D82" s="6" t="n">
        <v>46068</v>
      </c>
      <c r="E82" s="5" t="n">
        <v>79</v>
      </c>
      <c r="F82" s="5" t="inlineStr">
        <is>
          <t>Met</t>
        </is>
      </c>
    </row>
    <row r="83">
      <c r="A83" s="5" t="inlineStr">
        <is>
          <t>S1083</t>
        </is>
      </c>
      <c r="B83" s="5" t="n">
        <v>5</v>
      </c>
      <c r="C83" s="5" t="inlineStr">
        <is>
          <t>Math</t>
        </is>
      </c>
      <c r="D83" s="6" t="n">
        <v>46046</v>
      </c>
      <c r="E83" s="5" t="n">
        <v>85</v>
      </c>
      <c r="F83" s="5" t="inlineStr">
        <is>
          <t>Met</t>
        </is>
      </c>
    </row>
    <row r="84">
      <c r="A84" s="5" t="inlineStr">
        <is>
          <t>S1084</t>
        </is>
      </c>
      <c r="B84" s="5" t="n">
        <v>8</v>
      </c>
      <c r="C84" s="5" t="inlineStr">
        <is>
          <t>ELA</t>
        </is>
      </c>
      <c r="D84" s="6" t="n">
        <v>46110</v>
      </c>
      <c r="E84" s="5" t="n">
        <v>73</v>
      </c>
      <c r="F84" s="5" t="inlineStr">
        <is>
          <t>Met</t>
        </is>
      </c>
    </row>
    <row r="85">
      <c r="A85" s="5" t="inlineStr">
        <is>
          <t>S1085</t>
        </is>
      </c>
      <c r="B85" s="5" t="n">
        <v>5</v>
      </c>
      <c r="C85" s="5" t="inlineStr">
        <is>
          <t>ELA</t>
        </is>
      </c>
      <c r="D85" s="6" t="n">
        <v>46119</v>
      </c>
      <c r="E85" s="5" t="n">
        <v>77</v>
      </c>
      <c r="F85" s="5" t="inlineStr">
        <is>
          <t>Met</t>
        </is>
      </c>
    </row>
    <row r="86">
      <c r="A86" s="5" t="inlineStr">
        <is>
          <t>S1086</t>
        </is>
      </c>
      <c r="B86" s="5" t="n">
        <v>8</v>
      </c>
      <c r="C86" s="5" t="inlineStr">
        <is>
          <t>Math</t>
        </is>
      </c>
      <c r="D86" s="6" t="n">
        <v>46070</v>
      </c>
      <c r="E86" s="5" t="n">
        <v>72</v>
      </c>
      <c r="F86" s="5" t="inlineStr">
        <is>
          <t>Met</t>
        </is>
      </c>
    </row>
    <row r="87">
      <c r="A87" s="5" t="inlineStr">
        <is>
          <t>S1087</t>
        </is>
      </c>
      <c r="B87" s="5" t="n">
        <v>8</v>
      </c>
      <c r="C87" s="5" t="inlineStr">
        <is>
          <t>Math</t>
        </is>
      </c>
      <c r="D87" s="6" t="n">
        <v>46123</v>
      </c>
      <c r="E87" s="5" t="n">
        <v>77</v>
      </c>
      <c r="F87" s="5" t="inlineStr">
        <is>
          <t>Met</t>
        </is>
      </c>
    </row>
    <row r="88">
      <c r="A88" s="5" t="inlineStr">
        <is>
          <t>S1088</t>
        </is>
      </c>
      <c r="B88" s="5" t="n">
        <v>7</v>
      </c>
      <c r="C88" s="5" t="inlineStr">
        <is>
          <t>Science</t>
        </is>
      </c>
      <c r="D88" s="6" t="n">
        <v>46091</v>
      </c>
      <c r="E88" s="5" t="n">
        <v>61</v>
      </c>
      <c r="F88" s="5" t="inlineStr">
        <is>
          <t>Below</t>
        </is>
      </c>
    </row>
    <row r="89">
      <c r="A89" s="5" t="inlineStr">
        <is>
          <t>S1089</t>
        </is>
      </c>
      <c r="B89" s="5" t="n">
        <v>7</v>
      </c>
      <c r="C89" s="5" t="inlineStr">
        <is>
          <t>Science</t>
        </is>
      </c>
      <c r="D89" s="6" t="n">
        <v>46068</v>
      </c>
      <c r="E89" s="5" t="n">
        <v>100</v>
      </c>
      <c r="F89" s="5" t="inlineStr">
        <is>
          <t>Met</t>
        </is>
      </c>
    </row>
    <row r="90">
      <c r="A90" s="5" t="inlineStr">
        <is>
          <t>S1090</t>
        </is>
      </c>
      <c r="B90" s="5" t="n">
        <v>6</v>
      </c>
      <c r="C90" s="5" t="inlineStr">
        <is>
          <t>Math</t>
        </is>
      </c>
      <c r="D90" s="6" t="n">
        <v>46086</v>
      </c>
      <c r="E90" s="5" t="n">
        <v>67</v>
      </c>
      <c r="F90" s="5" t="inlineStr">
        <is>
          <t>Below</t>
        </is>
      </c>
    </row>
    <row r="91">
      <c r="A91" s="5" t="inlineStr">
        <is>
          <t>S1091</t>
        </is>
      </c>
      <c r="B91" s="5" t="n">
        <v>7</v>
      </c>
      <c r="C91" s="5" t="inlineStr">
        <is>
          <t>Math</t>
        </is>
      </c>
      <c r="D91" s="6" t="n">
        <v>46043</v>
      </c>
      <c r="E91" s="5" t="n">
        <v>72</v>
      </c>
      <c r="F91" s="5" t="inlineStr">
        <is>
          <t>Met</t>
        </is>
      </c>
    </row>
    <row r="92">
      <c r="A92" s="5" t="inlineStr">
        <is>
          <t>S1092</t>
        </is>
      </c>
      <c r="B92" s="5" t="n">
        <v>6</v>
      </c>
      <c r="C92" s="5" t="inlineStr">
        <is>
          <t>Science</t>
        </is>
      </c>
      <c r="D92" s="6" t="n">
        <v>46044</v>
      </c>
      <c r="E92" s="5" t="n">
        <v>66</v>
      </c>
      <c r="F92" s="5" t="inlineStr">
        <is>
          <t>Below</t>
        </is>
      </c>
    </row>
    <row r="93">
      <c r="A93" s="5" t="inlineStr">
        <is>
          <t>S1093</t>
        </is>
      </c>
      <c r="B93" s="5" t="n">
        <v>6</v>
      </c>
      <c r="C93" s="5" t="inlineStr">
        <is>
          <t>ELA</t>
        </is>
      </c>
      <c r="D93" s="6" t="n">
        <v>46101</v>
      </c>
      <c r="E93" s="5" t="n">
        <v>83</v>
      </c>
      <c r="F93" s="5" t="inlineStr">
        <is>
          <t>Met</t>
        </is>
      </c>
    </row>
    <row r="94">
      <c r="A94" s="5" t="inlineStr">
        <is>
          <t>S1094</t>
        </is>
      </c>
      <c r="B94" s="5" t="n">
        <v>6</v>
      </c>
      <c r="C94" s="5" t="inlineStr">
        <is>
          <t>Math</t>
        </is>
      </c>
      <c r="D94" s="6" t="n">
        <v>46093</v>
      </c>
      <c r="E94" s="5" t="n">
        <v>74</v>
      </c>
      <c r="F94" s="5" t="inlineStr">
        <is>
          <t>Met</t>
        </is>
      </c>
    </row>
    <row r="95">
      <c r="A95" s="5" t="inlineStr">
        <is>
          <t>S1095</t>
        </is>
      </c>
      <c r="B95" s="5" t="n">
        <v>6</v>
      </c>
      <c r="C95" s="5" t="inlineStr">
        <is>
          <t>Science</t>
        </is>
      </c>
      <c r="D95" s="6" t="n">
        <v>46103</v>
      </c>
      <c r="E95" s="5" t="n">
        <v>64</v>
      </c>
      <c r="F95" s="5" t="inlineStr">
        <is>
          <t>Below</t>
        </is>
      </c>
    </row>
    <row r="96">
      <c r="A96" s="5" t="inlineStr">
        <is>
          <t>S1096</t>
        </is>
      </c>
      <c r="B96" s="5" t="n">
        <v>6</v>
      </c>
      <c r="C96" s="5" t="inlineStr">
        <is>
          <t>ELA</t>
        </is>
      </c>
      <c r="D96" s="6" t="n">
        <v>46124</v>
      </c>
      <c r="E96" s="5" t="n">
        <v>84</v>
      </c>
      <c r="F96" s="5" t="inlineStr">
        <is>
          <t>Met</t>
        </is>
      </c>
    </row>
    <row r="97">
      <c r="A97" s="5" t="inlineStr">
        <is>
          <t>S1097</t>
        </is>
      </c>
      <c r="B97" s="5" t="n">
        <v>5</v>
      </c>
      <c r="C97" s="5" t="inlineStr">
        <is>
          <t>Math</t>
        </is>
      </c>
      <c r="D97" s="6" t="n">
        <v>46123</v>
      </c>
      <c r="E97" s="5" t="n">
        <v>85</v>
      </c>
      <c r="F97" s="5" t="inlineStr">
        <is>
          <t>Met</t>
        </is>
      </c>
    </row>
    <row r="98">
      <c r="A98" s="5" t="inlineStr">
        <is>
          <t>S1098</t>
        </is>
      </c>
      <c r="B98" s="5" t="n">
        <v>7</v>
      </c>
      <c r="C98" s="5" t="inlineStr">
        <is>
          <t>ELA</t>
        </is>
      </c>
      <c r="D98" s="6" t="n">
        <v>46095</v>
      </c>
      <c r="E98" s="5" t="n">
        <v>75</v>
      </c>
      <c r="F98" s="5" t="inlineStr">
        <is>
          <t>Met</t>
        </is>
      </c>
    </row>
    <row r="99">
      <c r="A99" s="5" t="inlineStr">
        <is>
          <t>S1099</t>
        </is>
      </c>
      <c r="B99" s="5" t="n">
        <v>6</v>
      </c>
      <c r="C99" s="5" t="inlineStr">
        <is>
          <t>Science</t>
        </is>
      </c>
      <c r="D99" s="6" t="n">
        <v>46108</v>
      </c>
      <c r="E99" s="5" t="n">
        <v>68</v>
      </c>
      <c r="F99" s="5" t="inlineStr">
        <is>
          <t>Below</t>
        </is>
      </c>
    </row>
    <row r="100">
      <c r="A100" s="5" t="inlineStr">
        <is>
          <t>S1100</t>
        </is>
      </c>
      <c r="B100" s="5" t="n">
        <v>8</v>
      </c>
      <c r="C100" s="5" t="inlineStr">
        <is>
          <t>Math</t>
        </is>
      </c>
      <c r="D100" s="6" t="n">
        <v>46090</v>
      </c>
      <c r="E100" s="5" t="n">
        <v>100</v>
      </c>
      <c r="F100" s="5" t="inlineStr">
        <is>
          <t>Met</t>
        </is>
      </c>
    </row>
    <row r="101">
      <c r="A101" s="5" t="inlineStr">
        <is>
          <t>S1101</t>
        </is>
      </c>
      <c r="B101" s="5" t="n">
        <v>7</v>
      </c>
      <c r="C101" s="5" t="inlineStr">
        <is>
          <t>ELA</t>
        </is>
      </c>
      <c r="D101" s="6" t="n">
        <v>46103</v>
      </c>
      <c r="E101" s="5" t="n">
        <v>80</v>
      </c>
      <c r="F101" s="5" t="inlineStr">
        <is>
          <t>Met</t>
        </is>
      </c>
    </row>
    <row r="102">
      <c r="A102" s="5" t="inlineStr">
        <is>
          <t>S1102</t>
        </is>
      </c>
      <c r="B102" s="5" t="n">
        <v>7</v>
      </c>
      <c r="C102" s="5" t="inlineStr">
        <is>
          <t>Math</t>
        </is>
      </c>
      <c r="D102" s="6" t="n">
        <v>46087</v>
      </c>
      <c r="E102" s="5" t="n">
        <v>61</v>
      </c>
      <c r="F102" s="5" t="inlineStr">
        <is>
          <t>Below</t>
        </is>
      </c>
    </row>
    <row r="103">
      <c r="A103" s="5" t="inlineStr">
        <is>
          <t>S1103</t>
        </is>
      </c>
      <c r="B103" s="5" t="n">
        <v>6</v>
      </c>
      <c r="C103" s="5" t="inlineStr">
        <is>
          <t>ELA</t>
        </is>
      </c>
      <c r="D103" s="6" t="n">
        <v>46044</v>
      </c>
      <c r="E103" s="5" t="n">
        <v>93</v>
      </c>
      <c r="F103" s="5" t="inlineStr">
        <is>
          <t>Met</t>
        </is>
      </c>
    </row>
    <row r="104">
      <c r="A104" s="5" t="inlineStr">
        <is>
          <t>S1104</t>
        </is>
      </c>
      <c r="B104" s="5" t="n">
        <v>5</v>
      </c>
      <c r="C104" s="5" t="inlineStr">
        <is>
          <t>Science</t>
        </is>
      </c>
      <c r="D104" s="6" t="n">
        <v>46070</v>
      </c>
      <c r="E104" s="5" t="n">
        <v>66</v>
      </c>
      <c r="F104" s="5" t="inlineStr">
        <is>
          <t>Below</t>
        </is>
      </c>
    </row>
    <row r="105">
      <c r="A105" s="5" t="inlineStr">
        <is>
          <t>S1105</t>
        </is>
      </c>
      <c r="B105" s="5" t="n">
        <v>6</v>
      </c>
      <c r="C105" s="5" t="inlineStr">
        <is>
          <t>Science</t>
        </is>
      </c>
      <c r="D105" s="6" t="n">
        <v>46071</v>
      </c>
      <c r="E105" s="5" t="n">
        <v>100</v>
      </c>
      <c r="F105" s="5" t="inlineStr">
        <is>
          <t>Met</t>
        </is>
      </c>
    </row>
    <row r="106">
      <c r="A106" s="5" t="inlineStr">
        <is>
          <t>S1106</t>
        </is>
      </c>
      <c r="B106" s="5" t="n">
        <v>5</v>
      </c>
      <c r="C106" s="5" t="inlineStr">
        <is>
          <t>Math</t>
        </is>
      </c>
      <c r="D106" s="6" t="n">
        <v>46124</v>
      </c>
      <c r="E106" s="5" t="n">
        <v>77</v>
      </c>
      <c r="F106" s="5" t="inlineStr">
        <is>
          <t>Met</t>
        </is>
      </c>
    </row>
    <row r="107">
      <c r="A107" s="5" t="inlineStr">
        <is>
          <t>S1107</t>
        </is>
      </c>
      <c r="B107" s="5" t="n">
        <v>8</v>
      </c>
      <c r="C107" s="5" t="inlineStr">
        <is>
          <t>ELA</t>
        </is>
      </c>
      <c r="D107" s="6" t="n">
        <v>46114</v>
      </c>
      <c r="E107" s="5" t="n">
        <v>88</v>
      </c>
      <c r="F107" s="5" t="inlineStr">
        <is>
          <t>Met</t>
        </is>
      </c>
    </row>
    <row r="108">
      <c r="A108" s="5" t="inlineStr">
        <is>
          <t>S1108</t>
        </is>
      </c>
      <c r="B108" s="5" t="n">
        <v>7</v>
      </c>
      <c r="C108" s="5" t="inlineStr">
        <is>
          <t>Math</t>
        </is>
      </c>
      <c r="D108" s="6" t="n">
        <v>46068</v>
      </c>
      <c r="E108" s="5" t="n">
        <v>51</v>
      </c>
      <c r="F108" s="5" t="inlineStr">
        <is>
          <t>Below</t>
        </is>
      </c>
    </row>
    <row r="109">
      <c r="A109" s="5" t="inlineStr">
        <is>
          <t>S1109</t>
        </is>
      </c>
      <c r="B109" s="5" t="n">
        <v>8</v>
      </c>
      <c r="C109" s="5" t="inlineStr">
        <is>
          <t>Math</t>
        </is>
      </c>
      <c r="D109" s="6" t="n">
        <v>46082</v>
      </c>
      <c r="E109" s="5" t="n">
        <v>61</v>
      </c>
      <c r="F109" s="5" t="inlineStr">
        <is>
          <t>Below</t>
        </is>
      </c>
    </row>
    <row r="110">
      <c r="A110" s="5" t="inlineStr">
        <is>
          <t>S1110</t>
        </is>
      </c>
      <c r="B110" s="5" t="n">
        <v>5</v>
      </c>
      <c r="C110" s="5" t="inlineStr">
        <is>
          <t>ELA</t>
        </is>
      </c>
      <c r="D110" s="6" t="n">
        <v>46052</v>
      </c>
      <c r="E110" s="5" t="n">
        <v>92</v>
      </c>
      <c r="F110" s="5" t="inlineStr">
        <is>
          <t>Met</t>
        </is>
      </c>
    </row>
    <row r="111">
      <c r="A111" s="5" t="inlineStr">
        <is>
          <t>S1111</t>
        </is>
      </c>
      <c r="B111" s="5" t="n">
        <v>5</v>
      </c>
      <c r="C111" s="5" t="inlineStr">
        <is>
          <t>ELA</t>
        </is>
      </c>
      <c r="D111" s="6" t="n">
        <v>46104</v>
      </c>
      <c r="E111" s="5" t="n">
        <v>80</v>
      </c>
      <c r="F111" s="5" t="inlineStr">
        <is>
          <t>Met</t>
        </is>
      </c>
    </row>
    <row r="112">
      <c r="A112" s="5" t="inlineStr">
        <is>
          <t>S1112</t>
        </is>
      </c>
      <c r="B112" s="5" t="n">
        <v>8</v>
      </c>
      <c r="C112" s="5" t="inlineStr">
        <is>
          <t>ELA</t>
        </is>
      </c>
      <c r="D112" s="6" t="n">
        <v>46073</v>
      </c>
      <c r="E112" s="5" t="n">
        <v>100</v>
      </c>
      <c r="F112" s="5" t="inlineStr">
        <is>
          <t>Met</t>
        </is>
      </c>
    </row>
    <row r="113">
      <c r="A113" s="5" t="inlineStr">
        <is>
          <t>S1113</t>
        </is>
      </c>
      <c r="B113" s="5" t="n">
        <v>5</v>
      </c>
      <c r="C113" s="5" t="inlineStr">
        <is>
          <t>Science</t>
        </is>
      </c>
      <c r="D113" s="6" t="n">
        <v>46090</v>
      </c>
      <c r="E113" s="5" t="n">
        <v>82</v>
      </c>
      <c r="F113" s="5" t="inlineStr">
        <is>
          <t>Met</t>
        </is>
      </c>
    </row>
    <row r="114">
      <c r="A114" s="5" t="inlineStr">
        <is>
          <t>S1114</t>
        </is>
      </c>
      <c r="B114" s="5" t="n">
        <v>8</v>
      </c>
      <c r="C114" s="5" t="inlineStr">
        <is>
          <t>Math</t>
        </is>
      </c>
      <c r="D114" s="6" t="n">
        <v>46121</v>
      </c>
      <c r="E114" s="5" t="n">
        <v>78</v>
      </c>
      <c r="F114" s="5" t="inlineStr">
        <is>
          <t>Met</t>
        </is>
      </c>
    </row>
    <row r="115">
      <c r="A115" s="5" t="inlineStr">
        <is>
          <t>S1115</t>
        </is>
      </c>
      <c r="B115" s="5" t="n">
        <v>7</v>
      </c>
      <c r="C115" s="5" t="inlineStr">
        <is>
          <t>Math</t>
        </is>
      </c>
      <c r="D115" s="6" t="n">
        <v>46050</v>
      </c>
      <c r="E115" s="5" t="n">
        <v>97</v>
      </c>
      <c r="F115" s="5" t="inlineStr">
        <is>
          <t>Met</t>
        </is>
      </c>
    </row>
    <row r="116">
      <c r="A116" s="5" t="inlineStr">
        <is>
          <t>S1116</t>
        </is>
      </c>
      <c r="B116" s="5" t="n">
        <v>8</v>
      </c>
      <c r="C116" s="5" t="inlineStr">
        <is>
          <t>Science</t>
        </is>
      </c>
      <c r="D116" s="6" t="n">
        <v>46091</v>
      </c>
      <c r="E116" s="5" t="n">
        <v>88</v>
      </c>
      <c r="F116" s="5" t="inlineStr">
        <is>
          <t>Met</t>
        </is>
      </c>
    </row>
    <row r="117">
      <c r="A117" s="5" t="inlineStr">
        <is>
          <t>S1117</t>
        </is>
      </c>
      <c r="B117" s="5" t="n">
        <v>7</v>
      </c>
      <c r="C117" s="5" t="inlineStr">
        <is>
          <t>ELA</t>
        </is>
      </c>
      <c r="D117" s="6" t="n">
        <v>46084</v>
      </c>
      <c r="E117" s="5" t="n">
        <v>74</v>
      </c>
      <c r="F117" s="5" t="inlineStr">
        <is>
          <t>Met</t>
        </is>
      </c>
    </row>
    <row r="118">
      <c r="A118" s="5" t="inlineStr">
        <is>
          <t>S1118</t>
        </is>
      </c>
      <c r="B118" s="5" t="n">
        <v>8</v>
      </c>
      <c r="C118" s="5" t="inlineStr">
        <is>
          <t>Science</t>
        </is>
      </c>
      <c r="D118" s="6" t="n">
        <v>46118</v>
      </c>
      <c r="E118" s="5" t="n">
        <v>63</v>
      </c>
      <c r="F118" s="5" t="inlineStr">
        <is>
          <t>Below</t>
        </is>
      </c>
    </row>
    <row r="119">
      <c r="A119" s="5" t="inlineStr">
        <is>
          <t>S1119</t>
        </is>
      </c>
      <c r="B119" s="5" t="n">
        <v>5</v>
      </c>
      <c r="C119" s="5" t="inlineStr">
        <is>
          <t>Science</t>
        </is>
      </c>
      <c r="D119" s="6" t="n">
        <v>46043</v>
      </c>
      <c r="E119" s="5" t="n">
        <v>48</v>
      </c>
      <c r="F119" s="5" t="inlineStr">
        <is>
          <t>Below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B7C9D6"/>
    <outlinePr summaryBelow="1" summaryRight="1"/>
    <pageSetUpPr/>
  </sheetPr>
  <dimension ref="A1:D120"/>
  <sheetViews>
    <sheetView workbookViewId="0">
      <selection activeCell="B20" sqref="B20"/>
    </sheetView>
  </sheetViews>
  <sheetFormatPr baseColWidth="8" defaultRowHeight="15"/>
  <cols>
    <col width="11.28515625" customWidth="1" style="27" min="1" max="1"/>
    <col width="11.5703125" customWidth="1" style="27" min="2" max="2"/>
    <col width="12" customWidth="1" style="27" min="3" max="3"/>
    <col width="19" customWidth="1" style="27" min="4" max="4"/>
    <col width="16.5703125" customWidth="1" style="27" min="6" max="6"/>
    <col width="15" customWidth="1" style="27" min="7" max="7"/>
  </cols>
  <sheetData>
    <row r="1">
      <c r="A1" s="4" t="inlineStr">
        <is>
          <t>Student_ID</t>
        </is>
      </c>
      <c r="B1" s="4" t="inlineStr">
        <is>
          <t>Grade</t>
        </is>
      </c>
      <c r="C1" s="4" t="inlineStr">
        <is>
          <t>Incidents</t>
        </is>
      </c>
      <c r="D1" s="4" t="inlineStr">
        <is>
          <t>Major_Incidents</t>
        </is>
      </c>
    </row>
    <row r="2">
      <c r="A2" s="5" t="inlineStr">
        <is>
          <t>S1000</t>
        </is>
      </c>
      <c r="B2" s="5" t="n">
        <v>8</v>
      </c>
      <c r="C2" s="5" t="n">
        <v>1</v>
      </c>
      <c r="D2" s="5" t="n">
        <v>0</v>
      </c>
    </row>
    <row r="3">
      <c r="A3" s="5" t="inlineStr">
        <is>
          <t>S1001</t>
        </is>
      </c>
      <c r="B3" s="5" t="n">
        <v>5</v>
      </c>
      <c r="C3" s="5" t="n">
        <v>0</v>
      </c>
      <c r="D3" s="5" t="n">
        <v>0</v>
      </c>
    </row>
    <row r="4">
      <c r="A4" s="5" t="inlineStr">
        <is>
          <t>S1002</t>
        </is>
      </c>
      <c r="B4" s="5" t="n">
        <v>7</v>
      </c>
      <c r="C4" s="5" t="n">
        <v>2</v>
      </c>
      <c r="D4" s="5" t="n">
        <v>0</v>
      </c>
    </row>
    <row r="5">
      <c r="A5" s="5" t="inlineStr">
        <is>
          <t>S1003</t>
        </is>
      </c>
      <c r="B5" s="5" t="n">
        <v>8</v>
      </c>
      <c r="C5" s="5" t="n">
        <v>0</v>
      </c>
      <c r="D5" s="5" t="n">
        <v>0</v>
      </c>
    </row>
    <row r="6">
      <c r="A6" s="5" t="inlineStr">
        <is>
          <t>S1004</t>
        </is>
      </c>
      <c r="B6" s="5" t="n">
        <v>5</v>
      </c>
      <c r="C6" s="5" t="n">
        <v>0</v>
      </c>
      <c r="D6" s="5" t="n">
        <v>0</v>
      </c>
    </row>
    <row r="7">
      <c r="A7" s="5" t="inlineStr">
        <is>
          <t>S1005</t>
        </is>
      </c>
      <c r="B7" s="5" t="n">
        <v>5</v>
      </c>
      <c r="C7" s="5" t="n">
        <v>0</v>
      </c>
      <c r="D7" s="5" t="n">
        <v>0</v>
      </c>
    </row>
    <row r="8">
      <c r="A8" s="5" t="inlineStr">
        <is>
          <t>S1006</t>
        </is>
      </c>
      <c r="B8" s="5" t="n">
        <v>6</v>
      </c>
      <c r="C8" s="5" t="n">
        <v>0</v>
      </c>
      <c r="D8" s="5" t="n">
        <v>0</v>
      </c>
    </row>
    <row r="9">
      <c r="A9" s="5" t="inlineStr">
        <is>
          <t>S1007</t>
        </is>
      </c>
      <c r="B9" s="5" t="n">
        <v>7</v>
      </c>
      <c r="C9" s="5" t="n">
        <v>1</v>
      </c>
      <c r="D9" s="5" t="n">
        <v>0</v>
      </c>
    </row>
    <row r="10">
      <c r="A10" s="5" t="inlineStr">
        <is>
          <t>S1008</t>
        </is>
      </c>
      <c r="B10" s="5" t="n">
        <v>7</v>
      </c>
      <c r="C10" s="5" t="n">
        <v>0</v>
      </c>
      <c r="D10" s="5" t="n">
        <v>0</v>
      </c>
    </row>
    <row r="11">
      <c r="A11" s="5" t="inlineStr">
        <is>
          <t>S1009</t>
        </is>
      </c>
      <c r="B11" s="5" t="n">
        <v>6</v>
      </c>
      <c r="C11" s="5" t="n">
        <v>1</v>
      </c>
      <c r="D11" s="5" t="n">
        <v>0</v>
      </c>
    </row>
    <row r="12">
      <c r="A12" s="5" t="inlineStr">
        <is>
          <t>S1010</t>
        </is>
      </c>
      <c r="B12" s="5" t="n">
        <v>6</v>
      </c>
      <c r="C12" s="5" t="n">
        <v>1</v>
      </c>
      <c r="D12" s="5" t="n">
        <v>0</v>
      </c>
    </row>
    <row r="13">
      <c r="A13" s="5" t="inlineStr">
        <is>
          <t>S1011</t>
        </is>
      </c>
      <c r="B13" s="5" t="n">
        <v>7</v>
      </c>
      <c r="C13" s="5" t="n">
        <v>1</v>
      </c>
      <c r="D13" s="5" t="n">
        <v>0</v>
      </c>
    </row>
    <row r="14">
      <c r="A14" s="5" t="inlineStr">
        <is>
          <t>S1013</t>
        </is>
      </c>
      <c r="B14" s="5" t="n">
        <v>8</v>
      </c>
      <c r="C14" s="5" t="n">
        <v>3</v>
      </c>
      <c r="D14" s="5" t="n">
        <v>1</v>
      </c>
    </row>
    <row r="15">
      <c r="A15" s="5" t="inlineStr">
        <is>
          <t>S1014</t>
        </is>
      </c>
      <c r="B15" s="5" t="n">
        <v>8</v>
      </c>
      <c r="C15" s="5" t="n">
        <v>1</v>
      </c>
      <c r="D15" s="5" t="n">
        <v>0</v>
      </c>
    </row>
    <row r="16">
      <c r="A16" s="5" t="inlineStr">
        <is>
          <t>S1015</t>
        </is>
      </c>
      <c r="B16" s="5" t="n">
        <v>6</v>
      </c>
      <c r="C16" s="5" t="n">
        <v>0</v>
      </c>
      <c r="D16" s="5" t="n">
        <v>0</v>
      </c>
    </row>
    <row r="17">
      <c r="A17" s="5" t="inlineStr">
        <is>
          <t>S1016</t>
        </is>
      </c>
      <c r="B17" s="5" t="n">
        <v>8</v>
      </c>
      <c r="C17" s="5" t="n">
        <v>1</v>
      </c>
      <c r="D17" s="5" t="n">
        <v>0</v>
      </c>
    </row>
    <row r="18">
      <c r="A18" s="5" t="inlineStr">
        <is>
          <t>S1017</t>
        </is>
      </c>
      <c r="B18" s="5" t="n">
        <v>5</v>
      </c>
      <c r="C18" s="5" t="n">
        <v>2</v>
      </c>
      <c r="D18" s="5" t="n">
        <v>0</v>
      </c>
    </row>
    <row r="19">
      <c r="A19" s="5" t="inlineStr">
        <is>
          <t>S1018</t>
        </is>
      </c>
      <c r="B19" s="5" t="n">
        <v>8</v>
      </c>
      <c r="C19" s="5" t="n">
        <v>4</v>
      </c>
      <c r="D19" s="5" t="n">
        <v>1</v>
      </c>
    </row>
    <row r="20">
      <c r="A20" s="5" t="inlineStr">
        <is>
          <t>S1019</t>
        </is>
      </c>
      <c r="B20" s="5" t="n">
        <v>8</v>
      </c>
      <c r="C20" s="5" t="n">
        <v>2</v>
      </c>
      <c r="D20" s="5" t="n">
        <v>0</v>
      </c>
    </row>
    <row r="21">
      <c r="A21" s="5" t="inlineStr">
        <is>
          <t>S1020</t>
        </is>
      </c>
      <c r="B21" s="5" t="n">
        <v>5</v>
      </c>
      <c r="C21" s="5" t="n">
        <v>2</v>
      </c>
      <c r="D21" s="5" t="n">
        <v>1</v>
      </c>
    </row>
    <row r="22">
      <c r="A22" s="5" t="inlineStr">
        <is>
          <t>S1021</t>
        </is>
      </c>
      <c r="B22" s="5" t="n">
        <v>6</v>
      </c>
      <c r="C22" s="5" t="n">
        <v>1</v>
      </c>
      <c r="D22" s="5" t="n">
        <v>0</v>
      </c>
    </row>
    <row r="23">
      <c r="A23" s="5" t="inlineStr">
        <is>
          <t>S1022</t>
        </is>
      </c>
      <c r="B23" s="5" t="n">
        <v>5</v>
      </c>
      <c r="C23" s="5" t="n">
        <v>0</v>
      </c>
      <c r="D23" s="5" t="n">
        <v>0</v>
      </c>
    </row>
    <row r="24">
      <c r="A24" s="5" t="inlineStr">
        <is>
          <t>S1023</t>
        </is>
      </c>
      <c r="B24" s="5" t="n">
        <v>8</v>
      </c>
      <c r="C24" s="5" t="n">
        <v>1</v>
      </c>
      <c r="D24" s="5" t="n">
        <v>0</v>
      </c>
    </row>
    <row r="25">
      <c r="A25" s="5" t="inlineStr">
        <is>
          <t>S1024</t>
        </is>
      </c>
      <c r="B25" s="5" t="n">
        <v>6</v>
      </c>
      <c r="C25" s="5" t="n">
        <v>4</v>
      </c>
      <c r="D25" s="5" t="n">
        <v>2</v>
      </c>
    </row>
    <row r="26">
      <c r="A26" s="5" t="inlineStr">
        <is>
          <t>S1025</t>
        </is>
      </c>
      <c r="B26" s="5" t="n">
        <v>8</v>
      </c>
      <c r="C26" s="5" t="n">
        <v>2</v>
      </c>
      <c r="D26" s="5" t="n">
        <v>0</v>
      </c>
    </row>
    <row r="27">
      <c r="A27" s="5" t="inlineStr">
        <is>
          <t>S1026</t>
        </is>
      </c>
      <c r="B27" s="5" t="n">
        <v>5</v>
      </c>
      <c r="C27" s="5" t="n">
        <v>0</v>
      </c>
      <c r="D27" s="5" t="n">
        <v>0</v>
      </c>
    </row>
    <row r="28">
      <c r="A28" s="5" t="inlineStr">
        <is>
          <t>S1027</t>
        </is>
      </c>
      <c r="B28" s="5" t="n">
        <v>5</v>
      </c>
      <c r="C28" s="5" t="n">
        <v>1</v>
      </c>
      <c r="D28" s="5" t="n">
        <v>0</v>
      </c>
    </row>
    <row r="29">
      <c r="A29" s="5" t="inlineStr">
        <is>
          <t>S1028</t>
        </is>
      </c>
      <c r="B29" s="5" t="n">
        <v>8</v>
      </c>
      <c r="C29" s="5" t="n">
        <v>3</v>
      </c>
      <c r="D29" s="5" t="n">
        <v>0</v>
      </c>
    </row>
    <row r="30">
      <c r="A30" s="5" t="inlineStr">
        <is>
          <t>S1029</t>
        </is>
      </c>
      <c r="B30" s="5" t="n">
        <v>7</v>
      </c>
      <c r="C30" s="5" t="n">
        <v>1</v>
      </c>
      <c r="D30" s="5" t="n">
        <v>0</v>
      </c>
    </row>
    <row r="31">
      <c r="A31" s="5" t="inlineStr">
        <is>
          <t>S1030</t>
        </is>
      </c>
      <c r="B31" s="5" t="n">
        <v>7</v>
      </c>
      <c r="C31" s="5" t="n">
        <v>3</v>
      </c>
      <c r="D31" s="5" t="n">
        <v>1</v>
      </c>
    </row>
    <row r="32">
      <c r="A32" s="5" t="inlineStr">
        <is>
          <t>S1031</t>
        </is>
      </c>
      <c r="B32" s="5" t="n">
        <v>5</v>
      </c>
      <c r="C32" s="5" t="n">
        <v>0</v>
      </c>
      <c r="D32" s="5" t="n">
        <v>0</v>
      </c>
    </row>
    <row r="33">
      <c r="A33" s="5" t="inlineStr">
        <is>
          <t>S1032</t>
        </is>
      </c>
      <c r="B33" s="5" t="n">
        <v>5</v>
      </c>
      <c r="C33" s="5" t="n">
        <v>1</v>
      </c>
      <c r="D33" s="5" t="n">
        <v>0</v>
      </c>
    </row>
    <row r="34">
      <c r="A34" s="5" t="inlineStr">
        <is>
          <t>S1033</t>
        </is>
      </c>
      <c r="B34" s="5" t="n">
        <v>7</v>
      </c>
      <c r="C34" s="5" t="n">
        <v>1</v>
      </c>
      <c r="D34" s="5" t="n">
        <v>0</v>
      </c>
    </row>
    <row r="35">
      <c r="A35" s="5" t="inlineStr">
        <is>
          <t>S1034</t>
        </is>
      </c>
      <c r="B35" s="5" t="n">
        <v>7</v>
      </c>
      <c r="C35" s="5" t="n">
        <v>2</v>
      </c>
      <c r="D35" s="5" t="n">
        <v>0</v>
      </c>
    </row>
    <row r="36">
      <c r="A36" s="5" t="inlineStr">
        <is>
          <t>S1035</t>
        </is>
      </c>
      <c r="B36" s="5" t="n">
        <v>8</v>
      </c>
      <c r="C36" s="5" t="n">
        <v>0</v>
      </c>
      <c r="D36" s="5" t="n">
        <v>0</v>
      </c>
    </row>
    <row r="37">
      <c r="A37" s="5" t="inlineStr">
        <is>
          <t>S1036</t>
        </is>
      </c>
      <c r="B37" s="5" t="n">
        <v>8</v>
      </c>
      <c r="C37" s="5" t="n">
        <v>0</v>
      </c>
      <c r="D37" s="5" t="n">
        <v>0</v>
      </c>
    </row>
    <row r="38">
      <c r="A38" s="5" t="inlineStr">
        <is>
          <t>S1037</t>
        </is>
      </c>
      <c r="B38" s="5" t="n">
        <v>7</v>
      </c>
      <c r="C38" s="5" t="n">
        <v>0</v>
      </c>
      <c r="D38" s="5" t="n">
        <v>0</v>
      </c>
    </row>
    <row r="39">
      <c r="A39" s="5" t="inlineStr">
        <is>
          <t>S1038</t>
        </is>
      </c>
      <c r="B39" s="5" t="n">
        <v>8</v>
      </c>
      <c r="C39" s="5" t="n">
        <v>1</v>
      </c>
      <c r="D39" s="5" t="n">
        <v>1</v>
      </c>
    </row>
    <row r="40">
      <c r="A40" s="5" t="inlineStr">
        <is>
          <t>S1039</t>
        </is>
      </c>
      <c r="B40" s="5" t="n">
        <v>8</v>
      </c>
      <c r="C40" s="5" t="n">
        <v>2</v>
      </c>
      <c r="D40" s="5" t="n">
        <v>0</v>
      </c>
    </row>
    <row r="41">
      <c r="A41" s="5" t="inlineStr">
        <is>
          <t>S1040</t>
        </is>
      </c>
      <c r="B41" s="5" t="n">
        <v>6</v>
      </c>
      <c r="C41" s="5" t="n">
        <v>2</v>
      </c>
      <c r="D41" s="5" t="n">
        <v>0</v>
      </c>
    </row>
    <row r="42">
      <c r="A42" s="5" t="inlineStr">
        <is>
          <t>S1041</t>
        </is>
      </c>
      <c r="B42" s="5" t="n">
        <v>8</v>
      </c>
      <c r="C42" s="5" t="n">
        <v>3</v>
      </c>
      <c r="D42" s="5" t="n">
        <v>0</v>
      </c>
    </row>
    <row r="43">
      <c r="A43" s="5" t="inlineStr">
        <is>
          <t>S1042</t>
        </is>
      </c>
      <c r="B43" s="5" t="n">
        <v>5</v>
      </c>
      <c r="C43" s="5" t="n">
        <v>3</v>
      </c>
      <c r="D43" s="5" t="n">
        <v>0</v>
      </c>
    </row>
    <row r="44">
      <c r="A44" s="5" t="inlineStr">
        <is>
          <t>S1043</t>
        </is>
      </c>
      <c r="B44" s="5" t="n">
        <v>8</v>
      </c>
      <c r="C44" s="5" t="n">
        <v>2</v>
      </c>
      <c r="D44" s="5" t="n">
        <v>1</v>
      </c>
    </row>
    <row r="45">
      <c r="A45" s="5" t="inlineStr">
        <is>
          <t>S1044</t>
        </is>
      </c>
      <c r="B45" s="5" t="n">
        <v>8</v>
      </c>
      <c r="C45" s="5" t="n">
        <v>0</v>
      </c>
      <c r="D45" s="5" t="n">
        <v>0</v>
      </c>
    </row>
    <row r="46">
      <c r="A46" s="5" t="inlineStr">
        <is>
          <t>S1045</t>
        </is>
      </c>
      <c r="B46" s="5" t="n">
        <v>7</v>
      </c>
      <c r="C46" s="5" t="n">
        <v>0</v>
      </c>
      <c r="D46" s="5" t="n">
        <v>0</v>
      </c>
    </row>
    <row r="47">
      <c r="A47" s="5" t="inlineStr">
        <is>
          <t>S1046</t>
        </is>
      </c>
      <c r="B47" s="5" t="n">
        <v>5</v>
      </c>
      <c r="C47" s="5" t="n">
        <v>1</v>
      </c>
      <c r="D47" s="5" t="n">
        <v>0</v>
      </c>
    </row>
    <row r="48">
      <c r="A48" s="5" t="inlineStr">
        <is>
          <t>S1047</t>
        </is>
      </c>
      <c r="B48" s="5" t="n">
        <v>8</v>
      </c>
      <c r="C48" s="5" t="n">
        <v>1</v>
      </c>
      <c r="D48" s="5" t="n">
        <v>0</v>
      </c>
    </row>
    <row r="49">
      <c r="A49" s="5" t="inlineStr">
        <is>
          <t>S1048</t>
        </is>
      </c>
      <c r="B49" s="5" t="n">
        <v>8</v>
      </c>
      <c r="C49" s="5" t="n">
        <v>1</v>
      </c>
      <c r="D49" s="5" t="n">
        <v>0</v>
      </c>
    </row>
    <row r="50">
      <c r="A50" s="5" t="inlineStr">
        <is>
          <t>S1049</t>
        </is>
      </c>
      <c r="B50" s="5" t="n">
        <v>6</v>
      </c>
      <c r="C50" s="5" t="n">
        <v>4</v>
      </c>
      <c r="D50" s="5" t="n">
        <v>0</v>
      </c>
    </row>
    <row r="51">
      <c r="A51" s="5" t="inlineStr">
        <is>
          <t>S1050</t>
        </is>
      </c>
      <c r="B51" s="5" t="n">
        <v>8</v>
      </c>
      <c r="C51" s="5" t="n">
        <v>1</v>
      </c>
      <c r="D51" s="5" t="n">
        <v>0</v>
      </c>
    </row>
    <row r="52">
      <c r="A52" s="5" t="inlineStr">
        <is>
          <t>S1051</t>
        </is>
      </c>
      <c r="B52" s="5" t="n">
        <v>8</v>
      </c>
      <c r="C52" s="5" t="n">
        <v>1</v>
      </c>
      <c r="D52" s="5" t="n">
        <v>0</v>
      </c>
    </row>
    <row r="53">
      <c r="A53" s="5" t="inlineStr">
        <is>
          <t>S1052</t>
        </is>
      </c>
      <c r="B53" s="5" t="n">
        <v>6</v>
      </c>
      <c r="C53" s="5" t="n">
        <v>2</v>
      </c>
      <c r="D53" s="5" t="n">
        <v>0</v>
      </c>
    </row>
    <row r="54">
      <c r="A54" s="5" t="inlineStr">
        <is>
          <t>S1053</t>
        </is>
      </c>
      <c r="B54" s="5" t="n">
        <v>7</v>
      </c>
      <c r="C54" s="5" t="n">
        <v>0</v>
      </c>
      <c r="D54" s="5" t="n">
        <v>0</v>
      </c>
    </row>
    <row r="55">
      <c r="A55" s="5" t="inlineStr">
        <is>
          <t>S1054</t>
        </is>
      </c>
      <c r="B55" s="5" t="n">
        <v>8</v>
      </c>
      <c r="C55" s="5" t="n">
        <v>0</v>
      </c>
      <c r="D55" s="5" t="n">
        <v>0</v>
      </c>
    </row>
    <row r="56">
      <c r="A56" s="5" t="inlineStr">
        <is>
          <t>S1055</t>
        </is>
      </c>
      <c r="B56" s="5" t="n">
        <v>6</v>
      </c>
      <c r="C56" s="5" t="n">
        <v>1</v>
      </c>
      <c r="D56" s="5" t="n">
        <v>0</v>
      </c>
    </row>
    <row r="57">
      <c r="A57" s="5" t="inlineStr">
        <is>
          <t>S1056</t>
        </is>
      </c>
      <c r="B57" s="5" t="n">
        <v>5</v>
      </c>
      <c r="C57" s="5" t="n">
        <v>0</v>
      </c>
      <c r="D57" s="5" t="n">
        <v>0</v>
      </c>
    </row>
    <row r="58">
      <c r="A58" s="5" t="inlineStr">
        <is>
          <t>S1057</t>
        </is>
      </c>
      <c r="B58" s="5" t="n">
        <v>7</v>
      </c>
      <c r="C58" s="5" t="n">
        <v>1</v>
      </c>
      <c r="D58" s="5" t="n">
        <v>0</v>
      </c>
    </row>
    <row r="59">
      <c r="A59" s="5" t="inlineStr">
        <is>
          <t>S1058</t>
        </is>
      </c>
      <c r="B59" s="5" t="n">
        <v>5</v>
      </c>
      <c r="C59" s="5" t="n">
        <v>1</v>
      </c>
      <c r="D59" s="5" t="n">
        <v>0</v>
      </c>
    </row>
    <row r="60">
      <c r="A60" s="5" t="inlineStr">
        <is>
          <t>S1059</t>
        </is>
      </c>
      <c r="B60" s="5" t="n">
        <v>5</v>
      </c>
      <c r="C60" s="5" t="n">
        <v>0</v>
      </c>
      <c r="D60" s="5" t="n">
        <v>0</v>
      </c>
    </row>
    <row r="61">
      <c r="A61" s="5" t="inlineStr">
        <is>
          <t>S1060</t>
        </is>
      </c>
      <c r="B61" s="5" t="n">
        <v>6</v>
      </c>
      <c r="C61" s="5" t="n">
        <v>0</v>
      </c>
      <c r="D61" s="5" t="n">
        <v>0</v>
      </c>
    </row>
    <row r="62">
      <c r="A62" s="5" t="inlineStr">
        <is>
          <t>S1061</t>
        </is>
      </c>
      <c r="B62" s="5" t="n">
        <v>8</v>
      </c>
      <c r="C62" s="5" t="n">
        <v>2</v>
      </c>
      <c r="D62" s="5" t="n">
        <v>0</v>
      </c>
    </row>
    <row r="63">
      <c r="A63" s="5" t="inlineStr">
        <is>
          <t>S1062</t>
        </is>
      </c>
      <c r="B63" s="5" t="n">
        <v>6</v>
      </c>
      <c r="C63" s="5" t="n">
        <v>0</v>
      </c>
      <c r="D63" s="5" t="n">
        <v>0</v>
      </c>
    </row>
    <row r="64">
      <c r="A64" s="5" t="inlineStr">
        <is>
          <t>S1063</t>
        </is>
      </c>
      <c r="B64" s="5" t="n">
        <v>6</v>
      </c>
      <c r="C64" s="5" t="n">
        <v>2</v>
      </c>
      <c r="D64" s="5" t="n">
        <v>1</v>
      </c>
    </row>
    <row r="65">
      <c r="A65" s="5" t="inlineStr">
        <is>
          <t>S1064</t>
        </is>
      </c>
      <c r="B65" s="5" t="n">
        <v>6</v>
      </c>
      <c r="C65" s="5" t="n">
        <v>2</v>
      </c>
      <c r="D65" s="5" t="n">
        <v>0</v>
      </c>
    </row>
    <row r="66">
      <c r="A66" s="5" t="inlineStr">
        <is>
          <t>S1065</t>
        </is>
      </c>
      <c r="B66" s="5" t="n">
        <v>6</v>
      </c>
      <c r="C66" s="5" t="n">
        <v>2</v>
      </c>
      <c r="D66" s="5" t="n">
        <v>0</v>
      </c>
    </row>
    <row r="67">
      <c r="A67" s="5" t="inlineStr">
        <is>
          <t>S1066</t>
        </is>
      </c>
      <c r="B67" s="5" t="n">
        <v>7</v>
      </c>
      <c r="C67" s="5" t="n">
        <v>0</v>
      </c>
      <c r="D67" s="5" t="n">
        <v>0</v>
      </c>
    </row>
    <row r="68">
      <c r="A68" s="5" t="inlineStr">
        <is>
          <t>S1067</t>
        </is>
      </c>
      <c r="B68" s="5" t="n">
        <v>8</v>
      </c>
      <c r="C68" s="5" t="n">
        <v>0</v>
      </c>
      <c r="D68" s="5" t="n">
        <v>0</v>
      </c>
    </row>
    <row r="69">
      <c r="A69" s="5" t="inlineStr">
        <is>
          <t>S1068</t>
        </is>
      </c>
      <c r="B69" s="5" t="n">
        <v>5</v>
      </c>
      <c r="C69" s="5" t="n">
        <v>3</v>
      </c>
      <c r="D69" s="5" t="n">
        <v>0</v>
      </c>
    </row>
    <row r="70">
      <c r="A70" s="5" t="inlineStr">
        <is>
          <t>S1069</t>
        </is>
      </c>
      <c r="B70" s="5" t="n">
        <v>5</v>
      </c>
      <c r="C70" s="5" t="n">
        <v>2</v>
      </c>
      <c r="D70" s="5" t="n">
        <v>0</v>
      </c>
    </row>
    <row r="71">
      <c r="A71" s="5" t="inlineStr">
        <is>
          <t>S1070</t>
        </is>
      </c>
      <c r="B71" s="5" t="n">
        <v>8</v>
      </c>
      <c r="C71" s="5" t="n">
        <v>0</v>
      </c>
      <c r="D71" s="5" t="n">
        <v>0</v>
      </c>
    </row>
    <row r="72">
      <c r="A72" s="5" t="inlineStr">
        <is>
          <t>S1071</t>
        </is>
      </c>
      <c r="B72" s="5" t="n">
        <v>5</v>
      </c>
      <c r="C72" s="5" t="n">
        <v>2</v>
      </c>
      <c r="D72" s="5" t="n">
        <v>0</v>
      </c>
    </row>
    <row r="73">
      <c r="A73" s="5" t="inlineStr">
        <is>
          <t>S1072</t>
        </is>
      </c>
      <c r="B73" s="5" t="n">
        <v>8</v>
      </c>
      <c r="C73" s="5" t="n">
        <v>0</v>
      </c>
      <c r="D73" s="5" t="n">
        <v>0</v>
      </c>
    </row>
    <row r="74">
      <c r="A74" s="5" t="inlineStr">
        <is>
          <t>S1073</t>
        </is>
      </c>
      <c r="B74" s="5" t="n">
        <v>5</v>
      </c>
      <c r="C74" s="5" t="n">
        <v>0</v>
      </c>
      <c r="D74" s="5" t="n">
        <v>0</v>
      </c>
    </row>
    <row r="75">
      <c r="A75" s="5" t="inlineStr">
        <is>
          <t>S1074</t>
        </is>
      </c>
      <c r="B75" s="5" t="n">
        <v>6</v>
      </c>
      <c r="C75" s="5" t="n">
        <v>0</v>
      </c>
      <c r="D75" s="5" t="n">
        <v>0</v>
      </c>
    </row>
    <row r="76">
      <c r="A76" s="5" t="inlineStr">
        <is>
          <t>S1075</t>
        </is>
      </c>
      <c r="B76" s="5" t="n">
        <v>5</v>
      </c>
      <c r="C76" s="5" t="n">
        <v>2</v>
      </c>
      <c r="D76" s="5" t="n">
        <v>0</v>
      </c>
    </row>
    <row r="77">
      <c r="A77" s="5" t="inlineStr">
        <is>
          <t>S1076</t>
        </is>
      </c>
      <c r="B77" s="5" t="n">
        <v>8</v>
      </c>
      <c r="C77" s="5" t="n">
        <v>3</v>
      </c>
      <c r="D77" s="5" t="n">
        <v>0</v>
      </c>
    </row>
    <row r="78">
      <c r="A78" s="5" t="inlineStr">
        <is>
          <t>S1077</t>
        </is>
      </c>
      <c r="B78" s="5" t="n">
        <v>8</v>
      </c>
      <c r="C78" s="5" t="n">
        <v>2</v>
      </c>
      <c r="D78" s="5" t="n">
        <v>0</v>
      </c>
    </row>
    <row r="79">
      <c r="A79" s="5" t="inlineStr">
        <is>
          <t>S1078</t>
        </is>
      </c>
      <c r="B79" s="5" t="n">
        <v>8</v>
      </c>
      <c r="C79" s="5" t="n">
        <v>0</v>
      </c>
      <c r="D79" s="5" t="n">
        <v>0</v>
      </c>
    </row>
    <row r="80">
      <c r="A80" s="5" t="inlineStr">
        <is>
          <t>S1079</t>
        </is>
      </c>
      <c r="B80" s="5" t="n">
        <v>8</v>
      </c>
      <c r="C80" s="5" t="n">
        <v>2</v>
      </c>
      <c r="D80" s="5" t="n">
        <v>0</v>
      </c>
    </row>
    <row r="81">
      <c r="A81" s="5" t="inlineStr">
        <is>
          <t>S1080</t>
        </is>
      </c>
      <c r="B81" s="5" t="n">
        <v>8</v>
      </c>
      <c r="C81" s="5" t="n">
        <v>5</v>
      </c>
      <c r="D81" s="5" t="n">
        <v>1</v>
      </c>
    </row>
    <row r="82">
      <c r="A82" s="5" t="inlineStr">
        <is>
          <t>S1081</t>
        </is>
      </c>
      <c r="B82" s="5" t="n">
        <v>7</v>
      </c>
      <c r="C82" s="5" t="n">
        <v>1</v>
      </c>
      <c r="D82" s="5" t="n">
        <v>0</v>
      </c>
    </row>
    <row r="83">
      <c r="A83" s="5" t="inlineStr">
        <is>
          <t>S1082</t>
        </is>
      </c>
      <c r="B83" s="5" t="n">
        <v>7</v>
      </c>
      <c r="C83" s="5" t="n">
        <v>2</v>
      </c>
      <c r="D83" s="5" t="n">
        <v>0</v>
      </c>
    </row>
    <row r="84">
      <c r="A84" s="5" t="inlineStr">
        <is>
          <t>S1083</t>
        </is>
      </c>
      <c r="B84" s="5" t="n">
        <v>5</v>
      </c>
      <c r="C84" s="5" t="n">
        <v>3</v>
      </c>
      <c r="D84" s="5" t="n">
        <v>0</v>
      </c>
    </row>
    <row r="85">
      <c r="A85" s="5" t="inlineStr">
        <is>
          <t>S1084</t>
        </is>
      </c>
      <c r="B85" s="5" t="n">
        <v>8</v>
      </c>
      <c r="C85" s="5" t="n">
        <v>1</v>
      </c>
      <c r="D85" s="5" t="n">
        <v>0</v>
      </c>
    </row>
    <row r="86">
      <c r="A86" s="5" t="inlineStr">
        <is>
          <t>S1085</t>
        </is>
      </c>
      <c r="B86" s="5" t="n">
        <v>5</v>
      </c>
      <c r="C86" s="5" t="n">
        <v>0</v>
      </c>
      <c r="D86" s="5" t="n">
        <v>0</v>
      </c>
    </row>
    <row r="87">
      <c r="A87" s="5" t="inlineStr">
        <is>
          <t>S1086</t>
        </is>
      </c>
      <c r="B87" s="5" t="n">
        <v>8</v>
      </c>
      <c r="C87" s="5" t="n">
        <v>0</v>
      </c>
      <c r="D87" s="5" t="n">
        <v>0</v>
      </c>
    </row>
    <row r="88">
      <c r="A88" s="5" t="inlineStr">
        <is>
          <t>S1087</t>
        </is>
      </c>
      <c r="B88" s="5" t="n">
        <v>8</v>
      </c>
      <c r="C88" s="5" t="n">
        <v>0</v>
      </c>
      <c r="D88" s="5" t="n">
        <v>0</v>
      </c>
    </row>
    <row r="89">
      <c r="A89" s="5" t="inlineStr">
        <is>
          <t>S1088</t>
        </is>
      </c>
      <c r="B89" s="5" t="n">
        <v>7</v>
      </c>
      <c r="C89" s="5" t="n">
        <v>1</v>
      </c>
      <c r="D89" s="5" t="n">
        <v>1</v>
      </c>
    </row>
    <row r="90">
      <c r="A90" s="5" t="inlineStr">
        <is>
          <t>S1089</t>
        </is>
      </c>
      <c r="B90" s="5" t="n">
        <v>7</v>
      </c>
      <c r="C90" s="5" t="n">
        <v>0</v>
      </c>
      <c r="D90" s="5" t="n">
        <v>0</v>
      </c>
    </row>
    <row r="91">
      <c r="A91" s="5" t="inlineStr">
        <is>
          <t>S1090</t>
        </is>
      </c>
      <c r="B91" s="5" t="n">
        <v>6</v>
      </c>
      <c r="C91" s="5" t="n">
        <v>1</v>
      </c>
      <c r="D91" s="5" t="n">
        <v>0</v>
      </c>
    </row>
    <row r="92">
      <c r="A92" s="5" t="inlineStr">
        <is>
          <t>S1091</t>
        </is>
      </c>
      <c r="B92" s="5" t="n">
        <v>7</v>
      </c>
      <c r="C92" s="5" t="n">
        <v>2</v>
      </c>
      <c r="D92" s="5" t="n">
        <v>0</v>
      </c>
    </row>
    <row r="93">
      <c r="A93" s="5" t="inlineStr">
        <is>
          <t>S1092</t>
        </is>
      </c>
      <c r="B93" s="5" t="n">
        <v>6</v>
      </c>
      <c r="C93" s="5" t="n">
        <v>1</v>
      </c>
      <c r="D93" s="5" t="n">
        <v>1</v>
      </c>
    </row>
    <row r="94">
      <c r="A94" s="5" t="inlineStr">
        <is>
          <t>S1093</t>
        </is>
      </c>
      <c r="B94" s="5" t="n">
        <v>6</v>
      </c>
      <c r="C94" s="5" t="n">
        <v>2</v>
      </c>
      <c r="D94" s="5" t="n">
        <v>0</v>
      </c>
    </row>
    <row r="95">
      <c r="A95" s="5" t="inlineStr">
        <is>
          <t>S1094</t>
        </is>
      </c>
      <c r="B95" s="5" t="n">
        <v>6</v>
      </c>
      <c r="C95" s="5" t="n">
        <v>1</v>
      </c>
      <c r="D95" s="5" t="n">
        <v>0</v>
      </c>
    </row>
    <row r="96">
      <c r="A96" s="5" t="inlineStr">
        <is>
          <t>S1095</t>
        </is>
      </c>
      <c r="B96" s="5" t="n">
        <v>6</v>
      </c>
      <c r="C96" s="5" t="n">
        <v>0</v>
      </c>
      <c r="D96" s="5" t="n">
        <v>0</v>
      </c>
    </row>
    <row r="97">
      <c r="A97" s="5" t="inlineStr">
        <is>
          <t>S1096</t>
        </is>
      </c>
      <c r="B97" s="5" t="n">
        <v>6</v>
      </c>
      <c r="C97" s="5" t="n">
        <v>1</v>
      </c>
      <c r="D97" s="5" t="n">
        <v>0</v>
      </c>
    </row>
    <row r="98">
      <c r="A98" s="5" t="inlineStr">
        <is>
          <t>S1097</t>
        </is>
      </c>
      <c r="B98" s="5" t="n">
        <v>5</v>
      </c>
      <c r="C98" s="5" t="n">
        <v>1</v>
      </c>
      <c r="D98" s="5" t="n">
        <v>0</v>
      </c>
    </row>
    <row r="99">
      <c r="A99" s="5" t="inlineStr">
        <is>
          <t>S1098</t>
        </is>
      </c>
      <c r="B99" s="5" t="n">
        <v>7</v>
      </c>
      <c r="C99" s="5" t="n">
        <v>1</v>
      </c>
      <c r="D99" s="5" t="n">
        <v>0</v>
      </c>
    </row>
    <row r="100">
      <c r="A100" s="5" t="inlineStr">
        <is>
          <t>S1099</t>
        </is>
      </c>
      <c r="B100" s="5" t="n">
        <v>6</v>
      </c>
      <c r="C100" s="5" t="n">
        <v>2</v>
      </c>
      <c r="D100" s="5" t="n">
        <v>0</v>
      </c>
    </row>
    <row r="101">
      <c r="A101" s="5" t="inlineStr">
        <is>
          <t>S1100</t>
        </is>
      </c>
      <c r="B101" s="5" t="n">
        <v>8</v>
      </c>
      <c r="C101" s="5" t="n">
        <v>6</v>
      </c>
      <c r="D101" s="5" t="n">
        <v>0</v>
      </c>
    </row>
    <row r="102">
      <c r="A102" s="5" t="inlineStr">
        <is>
          <t>S1101</t>
        </is>
      </c>
      <c r="B102" s="5" t="n">
        <v>7</v>
      </c>
      <c r="C102" s="5" t="n">
        <v>1</v>
      </c>
      <c r="D102" s="5" t="n">
        <v>0</v>
      </c>
    </row>
    <row r="103">
      <c r="A103" s="5" t="inlineStr">
        <is>
          <t>S1102</t>
        </is>
      </c>
      <c r="B103" s="5" t="n">
        <v>7</v>
      </c>
      <c r="C103" s="5" t="n">
        <v>0</v>
      </c>
      <c r="D103" s="5" t="n">
        <v>0</v>
      </c>
    </row>
    <row r="104">
      <c r="A104" s="5" t="inlineStr">
        <is>
          <t>S1103</t>
        </is>
      </c>
      <c r="B104" s="5" t="n">
        <v>6</v>
      </c>
      <c r="C104" s="5" t="n">
        <v>1</v>
      </c>
      <c r="D104" s="5" t="n">
        <v>0</v>
      </c>
    </row>
    <row r="105">
      <c r="A105" s="5" t="inlineStr">
        <is>
          <t>S1104</t>
        </is>
      </c>
      <c r="B105" s="5" t="n">
        <v>5</v>
      </c>
      <c r="C105" s="5" t="n">
        <v>1</v>
      </c>
      <c r="D105" s="5" t="n">
        <v>0</v>
      </c>
    </row>
    <row r="106">
      <c r="A106" s="5" t="inlineStr">
        <is>
          <t>S1105</t>
        </is>
      </c>
      <c r="B106" s="5" t="n">
        <v>6</v>
      </c>
      <c r="C106" s="5" t="n">
        <v>1</v>
      </c>
      <c r="D106" s="5" t="n">
        <v>0</v>
      </c>
    </row>
    <row r="107">
      <c r="A107" s="5" t="inlineStr">
        <is>
          <t>S1106</t>
        </is>
      </c>
      <c r="B107" s="5" t="n">
        <v>5</v>
      </c>
      <c r="C107" s="5" t="n">
        <v>1</v>
      </c>
      <c r="D107" s="5" t="n">
        <v>0</v>
      </c>
    </row>
    <row r="108">
      <c r="A108" s="5" t="inlineStr">
        <is>
          <t>S1107</t>
        </is>
      </c>
      <c r="B108" s="5" t="n">
        <v>8</v>
      </c>
      <c r="C108" s="5" t="n">
        <v>2</v>
      </c>
      <c r="D108" s="5" t="n">
        <v>0</v>
      </c>
    </row>
    <row r="109">
      <c r="A109" s="5" t="inlineStr">
        <is>
          <t>S1108</t>
        </is>
      </c>
      <c r="B109" s="5" t="n">
        <v>7</v>
      </c>
      <c r="C109" s="5" t="n">
        <v>1</v>
      </c>
      <c r="D109" s="5" t="n">
        <v>1</v>
      </c>
    </row>
    <row r="110">
      <c r="A110" s="5" t="inlineStr">
        <is>
          <t>S1109</t>
        </is>
      </c>
      <c r="B110" s="5" t="n">
        <v>8</v>
      </c>
      <c r="C110" s="5" t="n">
        <v>2</v>
      </c>
      <c r="D110" s="5" t="n">
        <v>0</v>
      </c>
    </row>
    <row r="111">
      <c r="A111" s="5" t="inlineStr">
        <is>
          <t>S1110</t>
        </is>
      </c>
      <c r="B111" s="5" t="n">
        <v>5</v>
      </c>
      <c r="C111" s="5" t="n">
        <v>2</v>
      </c>
      <c r="D111" s="5" t="n">
        <v>0</v>
      </c>
    </row>
    <row r="112">
      <c r="A112" s="5" t="inlineStr">
        <is>
          <t>S1111</t>
        </is>
      </c>
      <c r="B112" s="5" t="n">
        <v>5</v>
      </c>
      <c r="C112" s="5" t="n">
        <v>2</v>
      </c>
      <c r="D112" s="5" t="n">
        <v>0</v>
      </c>
    </row>
    <row r="113">
      <c r="A113" s="5" t="inlineStr">
        <is>
          <t>S1112</t>
        </is>
      </c>
      <c r="B113" s="5" t="n">
        <v>8</v>
      </c>
      <c r="C113" s="5" t="n">
        <v>3</v>
      </c>
      <c r="D113" s="5" t="n">
        <v>0</v>
      </c>
    </row>
    <row r="114">
      <c r="A114" s="5" t="inlineStr">
        <is>
          <t>S1113</t>
        </is>
      </c>
      <c r="B114" s="5" t="n">
        <v>5</v>
      </c>
      <c r="C114" s="5" t="n">
        <v>0</v>
      </c>
      <c r="D114" s="5" t="n">
        <v>0</v>
      </c>
    </row>
    <row r="115">
      <c r="A115" s="5" t="inlineStr">
        <is>
          <t>S1114</t>
        </is>
      </c>
      <c r="B115" s="5" t="n">
        <v>8</v>
      </c>
      <c r="C115" s="5" t="n">
        <v>4</v>
      </c>
      <c r="D115" s="5" t="n">
        <v>0</v>
      </c>
    </row>
    <row r="116">
      <c r="A116" s="5" t="inlineStr">
        <is>
          <t>S1115</t>
        </is>
      </c>
      <c r="B116" s="5" t="n">
        <v>7</v>
      </c>
      <c r="C116" s="5" t="n">
        <v>2</v>
      </c>
      <c r="D116" s="5" t="n">
        <v>0</v>
      </c>
    </row>
    <row r="117">
      <c r="A117" s="5" t="inlineStr">
        <is>
          <t>S1116</t>
        </is>
      </c>
      <c r="B117" s="5" t="n">
        <v>8</v>
      </c>
      <c r="C117" s="5" t="n">
        <v>2</v>
      </c>
      <c r="D117" s="5" t="n">
        <v>0</v>
      </c>
    </row>
    <row r="118">
      <c r="A118" s="5" t="inlineStr">
        <is>
          <t>S1117</t>
        </is>
      </c>
      <c r="B118" s="5" t="n">
        <v>7</v>
      </c>
      <c r="C118" s="5" t="n">
        <v>0</v>
      </c>
      <c r="D118" s="5" t="n">
        <v>0</v>
      </c>
    </row>
    <row r="119">
      <c r="A119" s="5" t="inlineStr">
        <is>
          <t>S1118</t>
        </is>
      </c>
      <c r="B119" s="5" t="n">
        <v>8</v>
      </c>
      <c r="C119" s="5" t="n">
        <v>0</v>
      </c>
      <c r="D119" s="5" t="n">
        <v>0</v>
      </c>
    </row>
    <row r="120">
      <c r="A120" s="5" t="inlineStr">
        <is>
          <t>S1119</t>
        </is>
      </c>
      <c r="B120" s="5" t="n">
        <v>5</v>
      </c>
      <c r="C120" s="5" t="n">
        <v>2</v>
      </c>
      <c r="D120" s="5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B7C9D6"/>
    <outlinePr summaryBelow="1" summaryRight="1"/>
    <pageSetUpPr/>
  </sheetPr>
  <dimension ref="A1:H24"/>
  <sheetViews>
    <sheetView workbookViewId="0">
      <selection activeCell="D27" sqref="D27"/>
    </sheetView>
  </sheetViews>
  <sheetFormatPr baseColWidth="8" defaultRowHeight="15"/>
  <cols>
    <col width="16" customWidth="1" style="27" min="1" max="1"/>
    <col width="14" customWidth="1" style="27" min="2" max="2"/>
    <col width="32" customWidth="1" style="27" min="3" max="3"/>
    <col width="35" customWidth="1" style="27" min="4" max="4"/>
    <col width="32" customWidth="1" style="27" min="5" max="5"/>
    <col width="30" customWidth="1" style="27" min="6" max="6"/>
    <col width="65" customWidth="1" style="27" min="7" max="7"/>
    <col width="18" customWidth="1" style="27" min="8" max="8"/>
  </cols>
  <sheetData>
    <row r="1">
      <c r="A1" s="8" t="inlineStr">
        <is>
          <t>Dataset</t>
        </is>
      </c>
      <c r="B1" s="8" t="inlineStr">
        <is>
          <t>Student_ID</t>
        </is>
      </c>
      <c r="C1" s="8" t="inlineStr">
        <is>
          <t>Issue</t>
        </is>
      </c>
      <c r="D1" s="8" t="inlineStr">
        <is>
          <t>Original_Value</t>
        </is>
      </c>
      <c r="E1" s="8" t="inlineStr">
        <is>
          <t>Expected_Value</t>
        </is>
      </c>
      <c r="F1" s="8" t="inlineStr">
        <is>
          <t>Action</t>
        </is>
      </c>
      <c r="G1" s="8" t="inlineStr">
        <is>
          <t>Reason</t>
        </is>
      </c>
      <c r="H1" s="8" t="inlineStr">
        <is>
          <t>Status</t>
        </is>
      </c>
    </row>
    <row r="2">
      <c r="A2" s="5" t="inlineStr">
        <is>
          <t>Students</t>
        </is>
      </c>
      <c r="B2" s="5" t="inlineStr">
        <is>
          <t>S1004</t>
        </is>
      </c>
      <c r="C2" s="5" t="inlineStr">
        <is>
          <t>Duplicate Student_ID with conflicting details</t>
        </is>
      </c>
      <c r="D2" s="5" t="inlineStr">
        <is>
          <t>2 records</t>
        </is>
      </c>
      <c r="E2" s="5" t="inlineStr">
        <is>
          <t>One unique Student_ID expected</t>
        </is>
      </c>
      <c r="F2" s="5" t="inlineStr">
        <is>
          <t>Retained and flagged</t>
        </is>
      </c>
      <c r="G2" s="5" t="inlineStr">
        <is>
          <t>The duplicate records contain different details; source verification is required</t>
        </is>
      </c>
      <c r="H2" s="5" t="inlineStr">
        <is>
          <t>Review Required</t>
        </is>
      </c>
    </row>
    <row r="3">
      <c r="A3" s="5" t="inlineStr">
        <is>
          <t>Attendance</t>
        </is>
      </c>
      <c r="B3" s="5" t="inlineStr">
        <is>
          <t>S1008</t>
        </is>
      </c>
      <c r="C3" s="5" t="inlineStr">
        <is>
          <t>Days Present exceeds Days Enrolled</t>
        </is>
      </c>
      <c r="D3" s="5" t="inlineStr">
        <is>
          <t>Days Enrolled=158; Days Present=161; Days Absent=5</t>
        </is>
      </c>
      <c r="E3" s="5" t="inlineStr">
        <is>
          <t>Cannot determine</t>
        </is>
      </c>
      <c r="F3" s="5" t="inlineStr">
        <is>
          <t>Retained and flagged</t>
        </is>
      </c>
      <c r="G3" s="5" t="inlineStr">
        <is>
          <t>The available data cannot determine which source value is incorrect</t>
        </is>
      </c>
      <c r="H3" s="5" t="inlineStr">
        <is>
          <t>Review Required</t>
        </is>
      </c>
    </row>
    <row r="4">
      <c r="A4" s="5" t="inlineStr">
        <is>
          <t>Assessments</t>
        </is>
      </c>
      <c r="B4" s="5" t="inlineStr">
        <is>
          <t>S1003</t>
        </is>
      </c>
      <c r="C4" s="5" t="inlineStr">
        <is>
          <t>Exact duplicate record</t>
        </is>
      </c>
      <c r="D4" s="5" t="inlineStr">
        <is>
          <t>Identical duplicate row</t>
        </is>
      </c>
      <c r="E4" s="5" t="inlineStr">
        <is>
          <t>One record</t>
        </is>
      </c>
      <c r="F4" s="5" t="inlineStr">
        <is>
          <t>Removed duplicate copy</t>
        </is>
      </c>
      <c r="G4" s="5" t="inlineStr">
        <is>
          <t>The duplicate contained the same values as the retained record</t>
        </is>
      </c>
      <c r="H4" s="5" t="inlineStr">
        <is>
          <t>Corrected</t>
        </is>
      </c>
    </row>
    <row r="5">
      <c r="A5" s="5" t="inlineStr">
        <is>
          <t>Assessments</t>
        </is>
      </c>
      <c r="B5" s="5" t="inlineStr">
        <is>
          <t>S1007</t>
        </is>
      </c>
      <c r="C5" s="5" t="inlineStr">
        <is>
          <t>Score exceeds 100</t>
        </is>
      </c>
      <c r="D5" s="5" t="n">
        <v>130</v>
      </c>
      <c r="E5" s="5" t="inlineStr">
        <is>
          <t>Requires business-rule verification</t>
        </is>
      </c>
      <c r="F5" s="5" t="inlineStr">
        <is>
          <t>Retained and flagged</t>
        </is>
      </c>
      <c r="G5" s="5" t="inlineStr">
        <is>
          <t>Cannot assume a 0–100 scoring scale without source documentation</t>
        </is>
      </c>
      <c r="H5" s="5" t="inlineStr">
        <is>
          <t>Review Required</t>
        </is>
      </c>
    </row>
    <row r="6">
      <c r="A6" s="5" t="inlineStr">
        <is>
          <t>Discipline</t>
        </is>
      </c>
      <c r="B6" s="5" t="inlineStr">
        <is>
          <t>S1012</t>
        </is>
      </c>
      <c r="C6" s="5" t="inlineStr">
        <is>
          <t>Invalid negative incident count</t>
        </is>
      </c>
      <c r="D6" s="5" t="n">
        <v>-2</v>
      </c>
      <c r="E6" s="5" t="inlineStr">
        <is>
          <t>Cannot determine</t>
        </is>
      </c>
      <c r="F6" s="5" t="inlineStr">
        <is>
          <t>Retained and flagged</t>
        </is>
      </c>
      <c r="G6" s="5" t="inlineStr">
        <is>
          <t>Incident counts cannot be negative, but the correct value cannot be derived from the available data</t>
        </is>
      </c>
      <c r="H6" s="5" t="inlineStr">
        <is>
          <t>Review Required</t>
        </is>
      </c>
    </row>
    <row r="11">
      <c r="A11" t="inlineStr">
        <is>
          <t>Student Dataset</t>
        </is>
      </c>
    </row>
    <row r="12">
      <c r="A12" s="7" t="inlineStr">
        <is>
          <t>S1004</t>
        </is>
      </c>
      <c r="B12" s="5" t="inlineStr">
        <is>
          <t>Lucas</t>
        </is>
      </c>
      <c r="C12" s="5" t="inlineStr">
        <is>
          <t>Lee</t>
        </is>
      </c>
      <c r="D12" s="5" t="n">
        <v>5</v>
      </c>
      <c r="E12" s="5" t="inlineStr">
        <is>
          <t>Active</t>
        </is>
      </c>
      <c r="F12" s="5" t="inlineStr">
        <is>
          <t>MTSS Tier 2</t>
        </is>
      </c>
      <c r="G12" s="6" t="n">
        <v>45916</v>
      </c>
    </row>
    <row r="13">
      <c r="A13" s="7" t="inlineStr">
        <is>
          <t>S1004</t>
        </is>
      </c>
      <c r="B13" s="5" t="inlineStr">
        <is>
          <t>Olivia</t>
        </is>
      </c>
      <c r="C13" s="5" t="inlineStr">
        <is>
          <t>Wilson</t>
        </is>
      </c>
      <c r="D13" s="5" t="n">
        <v>5</v>
      </c>
      <c r="E13" s="5" t="inlineStr">
        <is>
          <t>Active</t>
        </is>
      </c>
      <c r="F13" s="5" t="inlineStr">
        <is>
          <t>MTSS Tier 2</t>
        </is>
      </c>
      <c r="G13" s="6" t="n">
        <v>45917</v>
      </c>
    </row>
    <row r="14">
      <c r="A14" s="5" t="inlineStr">
        <is>
          <t>S1011</t>
        </is>
      </c>
      <c r="B14" s="5" t="inlineStr">
        <is>
          <t>Mia</t>
        </is>
      </c>
      <c r="C14" s="5" t="inlineStr">
        <is>
          <t>Garcia</t>
        </is>
      </c>
      <c r="D14" s="7" t="inlineStr">
        <is>
          <t>Unknown</t>
        </is>
      </c>
      <c r="E14" s="5" t="inlineStr">
        <is>
          <t>Active</t>
        </is>
      </c>
      <c r="F14" s="5" t="inlineStr">
        <is>
          <t>Core</t>
        </is>
      </c>
      <c r="G14" s="6" t="n">
        <v>45959</v>
      </c>
    </row>
    <row r="16">
      <c r="A16" t="inlineStr">
        <is>
          <t>Attendence Dataset</t>
        </is>
      </c>
    </row>
    <row r="17">
      <c r="A17" s="5" t="inlineStr">
        <is>
          <t>S1008</t>
        </is>
      </c>
      <c r="B17" s="5" t="n">
        <v>7</v>
      </c>
      <c r="C17" s="5" t="n">
        <v>158</v>
      </c>
      <c r="D17" s="5" t="n">
        <v>161</v>
      </c>
      <c r="E17" s="5" t="n">
        <v>5</v>
      </c>
      <c r="F17" s="5" t="n">
        <v>96.8</v>
      </c>
    </row>
    <row r="19">
      <c r="A19" s="5" t="inlineStr">
        <is>
          <t>Assessments Dataset</t>
        </is>
      </c>
    </row>
    <row r="20">
      <c r="A20" s="5" t="inlineStr">
        <is>
          <t>S1007</t>
        </is>
      </c>
      <c r="B20" s="5" t="n">
        <v>7</v>
      </c>
      <c r="C20" s="5" t="inlineStr">
        <is>
          <t>Science</t>
        </is>
      </c>
      <c r="D20" s="6" t="n">
        <v>46110</v>
      </c>
      <c r="E20" s="5" t="n">
        <v>130</v>
      </c>
      <c r="F20" s="5" t="inlineStr">
        <is>
          <t>Met</t>
        </is>
      </c>
    </row>
    <row r="21">
      <c r="A21" s="7" t="inlineStr">
        <is>
          <t>S1019</t>
        </is>
      </c>
      <c r="B21" s="5" t="n">
        <v>8</v>
      </c>
      <c r="C21" s="5" t="inlineStr">
        <is>
          <t>Science</t>
        </is>
      </c>
      <c r="D21" s="6" t="n">
        <v>46043</v>
      </c>
      <c r="E21" s="7" t="n"/>
      <c r="F21" s="5" t="inlineStr">
        <is>
          <t>Met</t>
        </is>
      </c>
    </row>
    <row r="23">
      <c r="A23" s="5" t="inlineStr">
        <is>
          <t>Discipline Dataset</t>
        </is>
      </c>
    </row>
    <row r="24">
      <c r="A24" s="5" t="inlineStr">
        <is>
          <t>S1012</t>
        </is>
      </c>
      <c r="B24" s="5" t="n">
        <v>7</v>
      </c>
      <c r="C24" s="5" t="n">
        <v>-2</v>
      </c>
      <c r="D24" s="5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B7C9D6"/>
    <outlinePr summaryBelow="1" summaryRight="1"/>
    <pageSetUpPr/>
  </sheetPr>
  <dimension ref="A1:N118"/>
  <sheetViews>
    <sheetView workbookViewId="0">
      <selection activeCell="I2" sqref="I2"/>
    </sheetView>
  </sheetViews>
  <sheetFormatPr baseColWidth="8" defaultRowHeight="15"/>
  <cols>
    <col width="10.85546875" bestFit="1" customWidth="1" style="14" min="1" max="1"/>
    <col width="17.28515625" bestFit="1" customWidth="1" style="14" min="2" max="2"/>
    <col width="6.42578125" bestFit="1" customWidth="1" style="14" min="3" max="3"/>
    <col width="11" bestFit="1" customWidth="1" style="14" min="4" max="4"/>
    <col width="17.5703125" bestFit="1" customWidth="1" style="14" min="5" max="5"/>
    <col width="16.42578125" bestFit="1" customWidth="1" style="14" min="6" max="6"/>
    <col width="13" customWidth="1" style="14" min="7" max="7"/>
    <col width="18.28515625" bestFit="1" customWidth="1" style="16" min="8" max="8"/>
    <col width="17.7109375" bestFit="1" customWidth="1" style="14" min="9" max="9"/>
    <col width="13.140625" bestFit="1" customWidth="1" style="14" min="10" max="10"/>
    <col width="19.140625" bestFit="1" customWidth="1" style="14" min="11" max="11"/>
    <col width="15.5703125" bestFit="1" customWidth="1" style="14" min="12" max="12"/>
    <col width="25" bestFit="1" customWidth="1" style="14" min="13" max="13"/>
    <col width="9.140625" customWidth="1" style="14" min="14" max="16384"/>
  </cols>
  <sheetData>
    <row r="1">
      <c r="A1" s="12" t="inlineStr">
        <is>
          <t>Student_ID</t>
        </is>
      </c>
      <c r="B1" s="12" t="inlineStr">
        <is>
          <t>Grade</t>
        </is>
      </c>
      <c r="C1" s="12" t="inlineStr">
        <is>
          <t>Program</t>
        </is>
      </c>
      <c r="D1" s="12" t="inlineStr">
        <is>
          <t>Enrollment_Status</t>
        </is>
      </c>
      <c r="E1" s="12" t="inlineStr">
        <is>
          <t>Attendance_Rate</t>
        </is>
      </c>
      <c r="F1" s="12" t="inlineStr">
        <is>
          <t>Assessment</t>
        </is>
      </c>
      <c r="G1" s="13" t="inlineStr">
        <is>
          <t>Assessment_Date</t>
        </is>
      </c>
      <c r="H1" s="12" t="inlineStr">
        <is>
          <t>Assessment_Score</t>
        </is>
      </c>
      <c r="I1" s="12" t="inlineStr">
        <is>
          <t>Benchmark</t>
        </is>
      </c>
      <c r="J1" s="12" t="inlineStr">
        <is>
          <t>Discipline_Incidents</t>
        </is>
      </c>
      <c r="K1" s="12" t="inlineStr">
        <is>
          <t>Major_Incidents</t>
        </is>
      </c>
      <c r="L1" s="18" t="inlineStr">
        <is>
          <t>KPI</t>
        </is>
      </c>
      <c r="M1" s="18" t="inlineStr">
        <is>
          <t>Value</t>
        </is>
      </c>
    </row>
    <row r="2">
      <c r="A2" s="15" t="inlineStr">
        <is>
          <t>S1000</t>
        </is>
      </c>
      <c r="B2" s="14">
        <f>VLOOKUP(A2,Student_Analysis_Ready!A:D,4,FALSE)</f>
        <v/>
      </c>
      <c r="C2" s="14">
        <f>VLOOKUP(A:A,Student_Analysis_Ready!A:F,6,FALSE)</f>
        <v/>
      </c>
      <c r="D2" s="14">
        <f>VLOOKUP(A:A,Student_Analysis_Ready!A:E,5,FALSE)</f>
        <v/>
      </c>
      <c r="E2" s="14">
        <f>IFERROR(VLOOKUP(A:A,Attendence_Analysis_Ready!A:F,6,FALSE),"Not Available")</f>
        <v/>
      </c>
      <c r="F2" s="14">
        <f>IFERROR(VLOOKUP(A:A,Assessment_Analysis_Ready!A:C,3,FALSE),"Not Available")</f>
        <v/>
      </c>
      <c r="G2" s="16">
        <f>IFERROR(VLOOKUP(A:A,Assessment_Analysis_Ready!A:D,4,FALSE),"Not Available")</f>
        <v/>
      </c>
      <c r="H2" s="14">
        <f>IFERROR(VLOOKUP(A:A,Assessment_Analysis_Ready!A:E,5,FALSE),"Not Available")</f>
        <v/>
      </c>
      <c r="I2" s="14">
        <f>IFERROR(VLOOKUP(A:A,Assessment_Analysis_Ready!A:F,6,FALSE),"Not Available")</f>
        <v/>
      </c>
      <c r="J2" s="14">
        <f>IFERROR(VLOOKUP(A:A,Discipline_Analysis_Ready!A:C,3,FALSE),"Not Available")</f>
        <v/>
      </c>
      <c r="K2" s="14">
        <f>IFERROR(VLOOKUP(A:A,Discipline_Analysis_Ready!A:D,4,FALSE),"Not Available")</f>
        <v/>
      </c>
      <c r="L2" s="14" t="inlineStr">
        <is>
          <t>Total Students</t>
        </is>
      </c>
      <c r="M2" s="14">
        <f>COUNTA(A2:A118)</f>
        <v/>
      </c>
    </row>
    <row r="3">
      <c r="A3" s="15" t="inlineStr">
        <is>
          <t>S1001</t>
        </is>
      </c>
      <c r="B3" s="14">
        <f>VLOOKUP(A3,Student_Analysis_Ready!A:D,4,FALSE)</f>
        <v/>
      </c>
      <c r="C3" s="14">
        <f>VLOOKUP(A:A,Student_Analysis_Ready!A:F,6,FALSE)</f>
        <v/>
      </c>
      <c r="D3" s="14">
        <f>VLOOKUP(A:A,Student_Analysis_Ready!A:E,5,FALSE)</f>
        <v/>
      </c>
      <c r="E3" s="14">
        <f>IFERROR(VLOOKUP(A:A,Attendence_Analysis_Ready!A:F,6,FALSE),"Not Available")</f>
        <v/>
      </c>
      <c r="F3" s="14">
        <f>IFERROR(VLOOKUP(A:A,Assessment_Analysis_Ready!A:C,3,FALSE),"Not Available")</f>
        <v/>
      </c>
      <c r="G3" s="16">
        <f>IFERROR(VLOOKUP(A:A,Assessment_Analysis_Ready!A:D,4,FALSE),"Not Available")</f>
        <v/>
      </c>
      <c r="H3" s="14">
        <f>IFERROR(VLOOKUP(A:A,Assessment_Analysis_Ready!A:E,5,FALSE),"Not Available")</f>
        <v/>
      </c>
      <c r="I3" s="14">
        <f>IFERROR(VLOOKUP(A:A,Assessment_Analysis_Ready!A:F,6,FALSE),"Not Available")</f>
        <v/>
      </c>
      <c r="J3" s="14">
        <f>IFERROR(VLOOKUP(A:A,Discipline_Analysis_Ready!A:C,3,FALSE),"Not Available")</f>
        <v/>
      </c>
      <c r="K3" s="14">
        <f>IFERROR(VLOOKUP(A:A,Discipline_Analysis_Ready!A:D,4,FALSE),"Not Available")</f>
        <v/>
      </c>
      <c r="L3" s="14" t="inlineStr">
        <is>
          <t>Average Attendance</t>
        </is>
      </c>
      <c r="M3" s="17">
        <f>AVERAGE(F2:F118)</f>
        <v/>
      </c>
    </row>
    <row r="4">
      <c r="A4" s="15" t="inlineStr">
        <is>
          <t>S1002</t>
        </is>
      </c>
      <c r="B4" s="14">
        <f>VLOOKUP(A4,Student_Analysis_Ready!A:D,4,FALSE)</f>
        <v/>
      </c>
      <c r="C4" s="14">
        <f>VLOOKUP(A:A,Student_Analysis_Ready!A:F,6,FALSE)</f>
        <v/>
      </c>
      <c r="D4" s="14">
        <f>VLOOKUP(A:A,Student_Analysis_Ready!A:E,5,FALSE)</f>
        <v/>
      </c>
      <c r="E4" s="14">
        <f>IFERROR(VLOOKUP(A:A,Attendence_Analysis_Ready!A:F,6,FALSE),"Not Available")</f>
        <v/>
      </c>
      <c r="F4" s="14">
        <f>IFERROR(VLOOKUP(A:A,Assessment_Analysis_Ready!A:C,3,FALSE),"Not Available")</f>
        <v/>
      </c>
      <c r="G4" s="16">
        <f>IFERROR(VLOOKUP(A:A,Assessment_Analysis_Ready!A:D,4,FALSE),"Not Available")</f>
        <v/>
      </c>
      <c r="H4" s="14">
        <f>IFERROR(VLOOKUP(A:A,Assessment_Analysis_Ready!A:E,5,FALSE),"Not Available")</f>
        <v/>
      </c>
      <c r="I4" s="14">
        <f>IFERROR(VLOOKUP(A:A,Assessment_Analysis_Ready!A:F,6,FALSE),"Not Available")</f>
        <v/>
      </c>
      <c r="J4" s="14">
        <f>IFERROR(VLOOKUP(A:A,Discipline_Analysis_Ready!A:C,3,FALSE),"Not Available")</f>
        <v/>
      </c>
      <c r="K4" s="14">
        <f>IFERROR(VLOOKUP(A:A,Discipline_Analysis_Ready!A:D,4,FALSE),"Not Available")</f>
        <v/>
      </c>
      <c r="L4" s="14" t="inlineStr">
        <is>
          <t>Average Assessment Score</t>
        </is>
      </c>
      <c r="M4" s="17">
        <f>+AVERAGE(I2:I118)</f>
        <v/>
      </c>
    </row>
    <row r="5">
      <c r="A5" s="15" t="inlineStr">
        <is>
          <t>S1003</t>
        </is>
      </c>
      <c r="B5" s="14">
        <f>VLOOKUP(A5,Student_Analysis_Ready!A:D,4,FALSE)</f>
        <v/>
      </c>
      <c r="C5" s="14">
        <f>VLOOKUP(A:A,Student_Analysis_Ready!A:F,6,FALSE)</f>
        <v/>
      </c>
      <c r="D5" s="14">
        <f>VLOOKUP(A:A,Student_Analysis_Ready!A:E,5,FALSE)</f>
        <v/>
      </c>
      <c r="E5" s="14">
        <f>IFERROR(VLOOKUP(A:A,Attendence_Analysis_Ready!A:F,6,FALSE),"Not Available")</f>
        <v/>
      </c>
      <c r="F5" s="14">
        <f>IFERROR(VLOOKUP(A:A,Assessment_Analysis_Ready!A:C,3,FALSE),"Not Available")</f>
        <v/>
      </c>
      <c r="G5" s="16">
        <f>IFERROR(VLOOKUP(A:A,Assessment_Analysis_Ready!A:D,4,FALSE),"Not Available")</f>
        <v/>
      </c>
      <c r="H5" s="14">
        <f>IFERROR(VLOOKUP(A:A,Assessment_Analysis_Ready!A:E,5,FALSE),"Not Available")</f>
        <v/>
      </c>
      <c r="I5" s="14">
        <f>IFERROR(VLOOKUP(A:A,Assessment_Analysis_Ready!A:F,6,FALSE),"Not Available")</f>
        <v/>
      </c>
      <c r="J5" s="14">
        <f>IFERROR(VLOOKUP(A:A,Discipline_Analysis_Ready!A:C,3,FALSE),"Not Available")</f>
        <v/>
      </c>
      <c r="K5" s="14">
        <f>IFERROR(VLOOKUP(A:A,Discipline_Analysis_Ready!A:D,4,FALSE),"Not Available")</f>
        <v/>
      </c>
      <c r="L5" s="14" t="inlineStr">
        <is>
          <t>Total Discipline Incidents</t>
        </is>
      </c>
      <c r="M5" s="14">
        <f>SUM(K2:K118)</f>
        <v/>
      </c>
    </row>
    <row r="6">
      <c r="A6" s="15" t="inlineStr">
        <is>
          <t>S1006</t>
        </is>
      </c>
      <c r="B6" s="14">
        <f>VLOOKUP(A6,Student_Analysis_Ready!A:D,4,FALSE)</f>
        <v/>
      </c>
      <c r="C6" s="14">
        <f>VLOOKUP(A:A,Student_Analysis_Ready!A:F,6,FALSE)</f>
        <v/>
      </c>
      <c r="D6" s="14">
        <f>VLOOKUP(A:A,Student_Analysis_Ready!A:E,5,FALSE)</f>
        <v/>
      </c>
      <c r="E6" s="14">
        <f>IFERROR(VLOOKUP(A:A,Attendence_Analysis_Ready!A:F,6,FALSE),"Not Available")</f>
        <v/>
      </c>
      <c r="F6" s="14">
        <f>IFERROR(VLOOKUP(A:A,Assessment_Analysis_Ready!A:C,3,FALSE),"Not Available")</f>
        <v/>
      </c>
      <c r="G6" s="16">
        <f>IFERROR(VLOOKUP(A:A,Assessment_Analysis_Ready!A:D,4,FALSE),"Not Available")</f>
        <v/>
      </c>
      <c r="H6" s="14">
        <f>IFERROR(VLOOKUP(A:A,Assessment_Analysis_Ready!A:E,5,FALSE),"Not Available")</f>
        <v/>
      </c>
      <c r="I6" s="14">
        <f>IFERROR(VLOOKUP(A:A,Assessment_Analysis_Ready!A:F,6,FALSE),"Not Available")</f>
        <v/>
      </c>
      <c r="J6" s="14">
        <f>IFERROR(VLOOKUP(A:A,Discipline_Analysis_Ready!A:C,3,FALSE),"Not Available")</f>
        <v/>
      </c>
      <c r="K6" s="14">
        <f>IFERROR(VLOOKUP(A:A,Discipline_Analysis_Ready!A:D,4,FALSE),"Not Available")</f>
        <v/>
      </c>
      <c r="L6" s="14" t="inlineStr">
        <is>
          <t>Total Major Incidents</t>
        </is>
      </c>
      <c r="M6" s="14">
        <f>SUM(L2:L118)</f>
        <v/>
      </c>
    </row>
    <row r="7">
      <c r="A7" s="15" t="inlineStr">
        <is>
          <t>S1007</t>
        </is>
      </c>
      <c r="B7" s="14">
        <f>VLOOKUP(A7,Student_Analysis_Ready!A:D,4,FALSE)</f>
        <v/>
      </c>
      <c r="C7" s="14">
        <f>VLOOKUP(A:A,Student_Analysis_Ready!A:F,6,FALSE)</f>
        <v/>
      </c>
      <c r="D7" s="14">
        <f>VLOOKUP(A:A,Student_Analysis_Ready!A:E,5,FALSE)</f>
        <v/>
      </c>
      <c r="E7" s="14">
        <f>IFERROR(VLOOKUP(A:A,Attendence_Analysis_Ready!A:F,6,FALSE),"Not Available")</f>
        <v/>
      </c>
      <c r="F7" s="14">
        <f>IFERROR(VLOOKUP(A:A,Assessment_Analysis_Ready!A:C,3,FALSE),"Not Available")</f>
        <v/>
      </c>
      <c r="G7" s="16">
        <f>IFERROR(VLOOKUP(A:A,Assessment_Analysis_Ready!A:D,4,FALSE),"Not Available")</f>
        <v/>
      </c>
      <c r="H7" s="14">
        <f>IFERROR(VLOOKUP(A:A,Assessment_Analysis_Ready!A:E,5,FALSE),"Not Available")</f>
        <v/>
      </c>
      <c r="I7" s="14">
        <f>IFERROR(VLOOKUP(A:A,Assessment_Analysis_Ready!A:F,6,FALSE),"Not Available")</f>
        <v/>
      </c>
      <c r="J7" s="14">
        <f>IFERROR(VLOOKUP(A:A,Discipline_Analysis_Ready!A:C,3,FALSE),"Not Available")</f>
        <v/>
      </c>
      <c r="K7" s="14">
        <f>IFERROR(VLOOKUP(A:A,Discipline_Analysis_Ready!A:D,4,FALSE),"Not Available")</f>
        <v/>
      </c>
    </row>
    <row r="8">
      <c r="A8" s="15" t="inlineStr">
        <is>
          <t>S1008</t>
        </is>
      </c>
      <c r="B8" s="14">
        <f>VLOOKUP(A8,Student_Analysis_Ready!A:D,4,FALSE)</f>
        <v/>
      </c>
      <c r="C8" s="14">
        <f>VLOOKUP(A:A,Student_Analysis_Ready!A:F,6,FALSE)</f>
        <v/>
      </c>
      <c r="D8" s="14">
        <f>VLOOKUP(A:A,Student_Analysis_Ready!A:E,5,FALSE)</f>
        <v/>
      </c>
      <c r="E8" s="14">
        <f>IFERROR(VLOOKUP(A:A,Attendence_Analysis_Ready!A:F,6,FALSE),"0")</f>
        <v/>
      </c>
      <c r="F8" s="14">
        <f>IFERROR(VLOOKUP(A:A,Assessment_Analysis_Ready!A:C,3,FALSE),"Not Available")</f>
        <v/>
      </c>
      <c r="G8" s="16">
        <f>IFERROR(VLOOKUP(A:A,Assessment_Analysis_Ready!A:D,4,FALSE),"Not Available")</f>
        <v/>
      </c>
      <c r="H8" s="14">
        <f>IFERROR(VLOOKUP(A:A,Assessment_Analysis_Ready!A:E,5,FALSE),"Not Available")</f>
        <v/>
      </c>
      <c r="I8" s="14">
        <f>IFERROR(VLOOKUP(A:A,Assessment_Analysis_Ready!A:F,6,FALSE),"Not Available")</f>
        <v/>
      </c>
      <c r="J8" s="14">
        <f>IFERROR(VLOOKUP(A:A,Discipline_Analysis_Ready!A:C,3,FALSE),"Not Available")</f>
        <v/>
      </c>
      <c r="K8" s="14">
        <f>IFERROR(VLOOKUP(A:A,Discipline_Analysis_Ready!A:D,4,FALSE),"Not Available")</f>
        <v/>
      </c>
    </row>
    <row r="9">
      <c r="A9" s="15" t="inlineStr">
        <is>
          <t>S1009</t>
        </is>
      </c>
      <c r="B9" s="14">
        <f>VLOOKUP(A9,Student_Analysis_Ready!A:D,4,FALSE)</f>
        <v/>
      </c>
      <c r="C9" s="14">
        <f>VLOOKUP(A:A,Student_Analysis_Ready!A:F,6,FALSE)</f>
        <v/>
      </c>
      <c r="D9" s="14">
        <f>VLOOKUP(A:A,Student_Analysis_Ready!A:E,5,FALSE)</f>
        <v/>
      </c>
      <c r="E9" s="14">
        <f>IFERROR(VLOOKUP(A:A,Attendence_Analysis_Ready!A:F,6,FALSE),"0")</f>
        <v/>
      </c>
      <c r="F9" s="14">
        <f>IFERROR(VLOOKUP(A:A,Assessment_Analysis_Ready!A:C,3,FALSE),"Not Available")</f>
        <v/>
      </c>
      <c r="G9" s="16">
        <f>IFERROR(VLOOKUP(A:A,Assessment_Analysis_Ready!A:D,4,FALSE),"Not Available")</f>
        <v/>
      </c>
      <c r="H9" s="14">
        <f>IFERROR(VLOOKUP(A:A,Assessment_Analysis_Ready!A:E,5,FALSE),"Not Available")</f>
        <v/>
      </c>
      <c r="I9" s="14">
        <f>IFERROR(VLOOKUP(A:A,Assessment_Analysis_Ready!A:F,6,FALSE),"Not Available")</f>
        <v/>
      </c>
      <c r="J9" s="14">
        <f>IFERROR(VLOOKUP(A:A,Discipline_Analysis_Ready!A:C,3,FALSE),"Not Available")</f>
        <v/>
      </c>
      <c r="K9" s="14">
        <f>IFERROR(VLOOKUP(A:A,Discipline_Analysis_Ready!A:D,4,FALSE),"Not Available")</f>
        <v/>
      </c>
    </row>
    <row r="10">
      <c r="A10" s="15" t="inlineStr">
        <is>
          <t>S1010</t>
        </is>
      </c>
      <c r="B10" s="14">
        <f>VLOOKUP(A10,Student_Analysis_Ready!A:D,4,FALSE)</f>
        <v/>
      </c>
      <c r="C10" s="14">
        <f>VLOOKUP(A:A,Student_Analysis_Ready!A:F,6,FALSE)</f>
        <v/>
      </c>
      <c r="D10" s="14">
        <f>VLOOKUP(A:A,Student_Analysis_Ready!A:E,5,FALSE)</f>
        <v/>
      </c>
      <c r="E10" s="14">
        <f>IFERROR(VLOOKUP(A:A,Attendence_Analysis_Ready!A:F,6,FALSE),"0")</f>
        <v/>
      </c>
      <c r="F10" s="14">
        <f>IFERROR(VLOOKUP(A:A,Assessment_Analysis_Ready!A:C,3,FALSE),"Not Available")</f>
        <v/>
      </c>
      <c r="G10" s="16">
        <f>IFERROR(VLOOKUP(A:A,Assessment_Analysis_Ready!A:D,4,FALSE),"Not Available")</f>
        <v/>
      </c>
      <c r="H10" s="14">
        <f>IFERROR(VLOOKUP(A:A,Assessment_Analysis_Ready!A:E,5,FALSE),"Not Available")</f>
        <v/>
      </c>
      <c r="I10" s="14">
        <f>IFERROR(VLOOKUP(A:A,Assessment_Analysis_Ready!A:F,6,FALSE),"Not Available")</f>
        <v/>
      </c>
      <c r="J10" s="14">
        <f>IFERROR(VLOOKUP(A:A,Discipline_Analysis_Ready!A:C,3,FALSE),"Not Available")</f>
        <v/>
      </c>
      <c r="K10" s="14">
        <f>IFERROR(VLOOKUP(A:A,Discipline_Analysis_Ready!A:D,4,FALSE),"Not Available")</f>
        <v/>
      </c>
    </row>
    <row r="11">
      <c r="A11" s="15" t="inlineStr">
        <is>
          <t>S1012</t>
        </is>
      </c>
      <c r="B11" s="14">
        <f>VLOOKUP(A11,Student_Analysis_Ready!A:D,4,FALSE)</f>
        <v/>
      </c>
      <c r="C11" s="14">
        <f>VLOOKUP(A:A,Student_Analysis_Ready!A:F,6,FALSE)</f>
        <v/>
      </c>
      <c r="D11" s="14">
        <f>VLOOKUP(A:A,Student_Analysis_Ready!A:E,5,FALSE)</f>
        <v/>
      </c>
      <c r="E11" s="14">
        <f>IFERROR(VLOOKUP(A:A,Attendence_Analysis_Ready!A:F,6,FALSE),"0")</f>
        <v/>
      </c>
      <c r="F11" s="14">
        <f>IFERROR(VLOOKUP(A:A,Assessment_Analysis_Ready!A:C,3,FALSE),"Not Available")</f>
        <v/>
      </c>
      <c r="G11" s="16">
        <f>IFERROR(VLOOKUP(A:A,Assessment_Analysis_Ready!A:D,4,FALSE),"Not Available")</f>
        <v/>
      </c>
      <c r="H11" s="14">
        <f>IFERROR(VLOOKUP(A:A,Assessment_Analysis_Ready!A:E,5,FALSE),"Not Available")</f>
        <v/>
      </c>
      <c r="I11" s="14">
        <f>IFERROR(VLOOKUP(A:A,Assessment_Analysis_Ready!A:F,6,FALSE),"Not Available")</f>
        <v/>
      </c>
      <c r="J11" s="14">
        <f>IFERROR(VLOOKUP(A:A,Discipline_Analysis_Ready!A:C,3,FALSE),"Not Available")</f>
        <v/>
      </c>
      <c r="K11" s="14">
        <f>IFERROR(VLOOKUP(A:A,Discipline_Analysis_Ready!A:D,4,FALSE),"Not Available")</f>
        <v/>
      </c>
    </row>
    <row r="12">
      <c r="A12" s="15" t="inlineStr">
        <is>
          <t>S1013</t>
        </is>
      </c>
      <c r="B12" s="14">
        <f>VLOOKUP(A12,Student_Analysis_Ready!A:D,4,FALSE)</f>
        <v/>
      </c>
      <c r="C12" s="14">
        <f>VLOOKUP(A:A,Student_Analysis_Ready!A:F,6,FALSE)</f>
        <v/>
      </c>
      <c r="D12" s="14">
        <f>VLOOKUP(A:A,Student_Analysis_Ready!A:E,5,FALSE)</f>
        <v/>
      </c>
      <c r="E12" s="14">
        <f>IFERROR(VLOOKUP(A:A,Attendence_Analysis_Ready!A:F,6,FALSE),"0")</f>
        <v/>
      </c>
      <c r="F12" s="14">
        <f>IFERROR(VLOOKUP(A:A,Assessment_Analysis_Ready!A:C,3,FALSE),"Not Available")</f>
        <v/>
      </c>
      <c r="G12" s="16">
        <f>IFERROR(VLOOKUP(A:A,Assessment_Analysis_Ready!A:D,4,FALSE),"Not Available")</f>
        <v/>
      </c>
      <c r="H12" s="14">
        <f>IFERROR(VLOOKUP(A:A,Assessment_Analysis_Ready!A:E,5,FALSE),"Not Available")</f>
        <v/>
      </c>
      <c r="I12" s="14">
        <f>IFERROR(VLOOKUP(A:A,Assessment_Analysis_Ready!A:F,6,FALSE),"Not Available")</f>
        <v/>
      </c>
      <c r="J12" s="14">
        <f>IFERROR(VLOOKUP(A:A,Discipline_Analysis_Ready!A:C,3,FALSE),"Not Available")</f>
        <v/>
      </c>
      <c r="K12" s="14">
        <f>IFERROR(VLOOKUP(A:A,Discipline_Analysis_Ready!A:D,4,FALSE),"Not Available")</f>
        <v/>
      </c>
    </row>
    <row r="13">
      <c r="A13" s="15" t="inlineStr">
        <is>
          <t>S1014</t>
        </is>
      </c>
      <c r="B13" s="14">
        <f>VLOOKUP(A13,Student_Analysis_Ready!A:D,4,FALSE)</f>
        <v/>
      </c>
      <c r="C13" s="14">
        <f>VLOOKUP(A:A,Student_Analysis_Ready!A:F,6,FALSE)</f>
        <v/>
      </c>
      <c r="D13" s="14">
        <f>VLOOKUP(A:A,Student_Analysis_Ready!A:E,5,FALSE)</f>
        <v/>
      </c>
      <c r="E13" s="14">
        <f>IFERROR(VLOOKUP(A:A,Attendence_Analysis_Ready!A:F,6,FALSE),"0")</f>
        <v/>
      </c>
      <c r="F13" s="14">
        <f>IFERROR(VLOOKUP(A:A,Assessment_Analysis_Ready!A:C,3,FALSE),"Not Available")</f>
        <v/>
      </c>
      <c r="G13" s="16">
        <f>IFERROR(VLOOKUP(A:A,Assessment_Analysis_Ready!A:D,4,FALSE),"Not Available")</f>
        <v/>
      </c>
      <c r="H13" s="14">
        <f>IFERROR(VLOOKUP(A:A,Assessment_Analysis_Ready!A:E,5,FALSE),"Not Available")</f>
        <v/>
      </c>
      <c r="I13" s="14">
        <f>IFERROR(VLOOKUP(A:A,Assessment_Analysis_Ready!A:F,6,FALSE),"Not Available")</f>
        <v/>
      </c>
      <c r="J13" s="14">
        <f>IFERROR(VLOOKUP(A:A,Discipline_Analysis_Ready!A:C,3,FALSE),"Not Available")</f>
        <v/>
      </c>
      <c r="K13" s="14">
        <f>IFERROR(VLOOKUP(A:A,Discipline_Analysis_Ready!A:D,4,FALSE),"Not Available")</f>
        <v/>
      </c>
    </row>
    <row r="14">
      <c r="A14" s="15" t="inlineStr">
        <is>
          <t>S1015</t>
        </is>
      </c>
      <c r="B14" s="14">
        <f>VLOOKUP(A14,Student_Analysis_Ready!A:D,4,FALSE)</f>
        <v/>
      </c>
      <c r="C14" s="14">
        <f>VLOOKUP(A:A,Student_Analysis_Ready!A:F,6,FALSE)</f>
        <v/>
      </c>
      <c r="D14" s="14">
        <f>VLOOKUP(A:A,Student_Analysis_Ready!A:E,5,FALSE)</f>
        <v/>
      </c>
      <c r="E14" s="14">
        <f>IFERROR(VLOOKUP(A:A,Attendence_Analysis_Ready!A:F,6,FALSE),"0")</f>
        <v/>
      </c>
      <c r="F14" s="14">
        <f>IFERROR(VLOOKUP(A:A,Assessment_Analysis_Ready!A:C,3,FALSE),"Not Available")</f>
        <v/>
      </c>
      <c r="G14" s="16">
        <f>IFERROR(VLOOKUP(A:A,Assessment_Analysis_Ready!A:D,4,FALSE),"Not Available")</f>
        <v/>
      </c>
      <c r="H14" s="14">
        <f>IFERROR(VLOOKUP(A:A,Assessment_Analysis_Ready!A:E,5,FALSE),"Not Available")</f>
        <v/>
      </c>
      <c r="I14" s="14">
        <f>IFERROR(VLOOKUP(A:A,Assessment_Analysis_Ready!A:F,6,FALSE),"Not Available")</f>
        <v/>
      </c>
      <c r="J14" s="14">
        <f>IFERROR(VLOOKUP(A:A,Discipline_Analysis_Ready!A:C,3,FALSE),"Not Available")</f>
        <v/>
      </c>
      <c r="K14" s="14">
        <f>IFERROR(VLOOKUP(A:A,Discipline_Analysis_Ready!A:D,4,FALSE),"Not Available")</f>
        <v/>
      </c>
    </row>
    <row r="15">
      <c r="A15" s="15" t="inlineStr">
        <is>
          <t>S1016</t>
        </is>
      </c>
      <c r="B15" s="14">
        <f>VLOOKUP(A15,Student_Analysis_Ready!A:D,4,FALSE)</f>
        <v/>
      </c>
      <c r="C15" s="14">
        <f>VLOOKUP(A:A,Student_Analysis_Ready!A:F,6,FALSE)</f>
        <v/>
      </c>
      <c r="D15" s="14">
        <f>VLOOKUP(A:A,Student_Analysis_Ready!A:E,5,FALSE)</f>
        <v/>
      </c>
      <c r="E15" s="14">
        <f>IFERROR(VLOOKUP(A:A,Attendence_Analysis_Ready!A:F,6,FALSE),"0")</f>
        <v/>
      </c>
      <c r="F15" s="14">
        <f>IFERROR(VLOOKUP(A:A,Assessment_Analysis_Ready!A:C,3,FALSE),"Not Available")</f>
        <v/>
      </c>
      <c r="G15" s="16">
        <f>IFERROR(VLOOKUP(A:A,Assessment_Analysis_Ready!A:D,4,FALSE),"Not Available")</f>
        <v/>
      </c>
      <c r="H15" s="14">
        <f>IFERROR(VLOOKUP(A:A,Assessment_Analysis_Ready!A:E,5,FALSE),"Not Available")</f>
        <v/>
      </c>
      <c r="I15" s="14">
        <f>IFERROR(VLOOKUP(A:A,Assessment_Analysis_Ready!A:F,6,FALSE),"Not Available")</f>
        <v/>
      </c>
      <c r="J15" s="14">
        <f>IFERROR(VLOOKUP(A:A,Discipline_Analysis_Ready!A:C,3,FALSE),"Not Available")</f>
        <v/>
      </c>
      <c r="K15" s="14">
        <f>IFERROR(VLOOKUP(A:A,Discipline_Analysis_Ready!A:D,4,FALSE),"Not Available")</f>
        <v/>
      </c>
    </row>
    <row r="16">
      <c r="A16" s="15" t="inlineStr">
        <is>
          <t>S1017</t>
        </is>
      </c>
      <c r="B16" s="14">
        <f>VLOOKUP(A16,Student_Analysis_Ready!A:D,4,FALSE)</f>
        <v/>
      </c>
      <c r="C16" s="14">
        <f>VLOOKUP(A:A,Student_Analysis_Ready!A:F,6,FALSE)</f>
        <v/>
      </c>
      <c r="D16" s="14">
        <f>VLOOKUP(A:A,Student_Analysis_Ready!A:E,5,FALSE)</f>
        <v/>
      </c>
      <c r="E16" s="14">
        <f>IFERROR(VLOOKUP(A:A,Attendence_Analysis_Ready!A:F,6,FALSE),"0")</f>
        <v/>
      </c>
      <c r="F16" s="14">
        <f>IFERROR(VLOOKUP(A:A,Assessment_Analysis_Ready!A:C,3,FALSE),"Not Available")</f>
        <v/>
      </c>
      <c r="G16" s="16">
        <f>IFERROR(VLOOKUP(A:A,Assessment_Analysis_Ready!A:D,4,FALSE),"Not Available")</f>
        <v/>
      </c>
      <c r="H16" s="14">
        <f>IFERROR(VLOOKUP(A:A,Assessment_Analysis_Ready!A:E,5,FALSE),"Not Available")</f>
        <v/>
      </c>
      <c r="I16" s="14">
        <f>IFERROR(VLOOKUP(A:A,Assessment_Analysis_Ready!A:F,6,FALSE),"Not Available")</f>
        <v/>
      </c>
      <c r="J16" s="14">
        <f>IFERROR(VLOOKUP(A:A,Discipline_Analysis_Ready!A:C,3,FALSE),"Not Available")</f>
        <v/>
      </c>
      <c r="K16" s="14">
        <f>IFERROR(VLOOKUP(A:A,Discipline_Analysis_Ready!A:D,4,FALSE),"Not Available")</f>
        <v/>
      </c>
    </row>
    <row r="17">
      <c r="A17" s="15" t="inlineStr">
        <is>
          <t>S1018</t>
        </is>
      </c>
      <c r="B17" s="14">
        <f>VLOOKUP(A17,Student_Analysis_Ready!A:D,4,FALSE)</f>
        <v/>
      </c>
      <c r="C17" s="14">
        <f>VLOOKUP(A:A,Student_Analysis_Ready!A:F,6,FALSE)</f>
        <v/>
      </c>
      <c r="D17" s="14">
        <f>VLOOKUP(A:A,Student_Analysis_Ready!A:E,5,FALSE)</f>
        <v/>
      </c>
      <c r="E17" s="14">
        <f>IFERROR(VLOOKUP(A:A,Attendence_Analysis_Ready!A:F,6,FALSE),"0")</f>
        <v/>
      </c>
      <c r="F17" s="14">
        <f>IFERROR(VLOOKUP(A:A,Assessment_Analysis_Ready!A:C,3,FALSE),"Not Available")</f>
        <v/>
      </c>
      <c r="G17" s="16">
        <f>IFERROR(VLOOKUP(A:A,Assessment_Analysis_Ready!A:D,4,FALSE),"Not Available")</f>
        <v/>
      </c>
      <c r="H17" s="14">
        <f>IFERROR(VLOOKUP(A:A,Assessment_Analysis_Ready!A:E,5,FALSE),"Not Available")</f>
        <v/>
      </c>
      <c r="I17" s="14">
        <f>IFERROR(VLOOKUP(A:A,Assessment_Analysis_Ready!A:F,6,FALSE),"Not Available")</f>
        <v/>
      </c>
      <c r="J17" s="14">
        <f>IFERROR(VLOOKUP(A:A,Discipline_Analysis_Ready!A:C,3,FALSE),"Not Available")</f>
        <v/>
      </c>
      <c r="K17" s="14">
        <f>IFERROR(VLOOKUP(A:A,Discipline_Analysis_Ready!A:D,4,FALSE),"Not Available")</f>
        <v/>
      </c>
    </row>
    <row r="18">
      <c r="A18" s="15" t="inlineStr">
        <is>
          <t>S1019</t>
        </is>
      </c>
      <c r="B18" s="14">
        <f>VLOOKUP(A18,Student_Analysis_Ready!A:D,4,FALSE)</f>
        <v/>
      </c>
      <c r="C18" s="14">
        <f>VLOOKUP(A:A,Student_Analysis_Ready!A:F,6,FALSE)</f>
        <v/>
      </c>
      <c r="D18" s="14">
        <f>VLOOKUP(A:A,Student_Analysis_Ready!A:E,5,FALSE)</f>
        <v/>
      </c>
      <c r="E18" s="14">
        <f>IFERROR(VLOOKUP(A:A,Attendence_Analysis_Ready!A:F,6,FALSE),"0")</f>
        <v/>
      </c>
      <c r="F18" s="14">
        <f>IFERROR(VLOOKUP(A:A,Assessment_Analysis_Ready!A:C,3,FALSE),"Not Available")</f>
        <v/>
      </c>
      <c r="G18" s="16">
        <f>IFERROR(VLOOKUP(A:A,Assessment_Analysis_Ready!A:D,4,FALSE),"Not Available")</f>
        <v/>
      </c>
      <c r="H18" s="14">
        <f>IFERROR(VLOOKUP(A:A,Assessment_Analysis_Ready!A:E,5,FALSE),"Not Available")</f>
        <v/>
      </c>
      <c r="I18" s="14">
        <f>IFERROR(VLOOKUP(A:A,Assessment_Analysis_Ready!A:F,6,FALSE),"Not Available")</f>
        <v/>
      </c>
      <c r="J18" s="14">
        <f>IFERROR(VLOOKUP(A:A,Discipline_Analysis_Ready!A:C,3,FALSE),"Not Available")</f>
        <v/>
      </c>
      <c r="K18" s="14">
        <f>IFERROR(VLOOKUP(A:A,Discipline_Analysis_Ready!A:D,4,FALSE),"Not Available")</f>
        <v/>
      </c>
    </row>
    <row r="19">
      <c r="A19" s="15" t="inlineStr">
        <is>
          <t>S1020</t>
        </is>
      </c>
      <c r="B19" s="14">
        <f>VLOOKUP(A19,Student_Analysis_Ready!A:D,4,FALSE)</f>
        <v/>
      </c>
      <c r="C19" s="14">
        <f>VLOOKUP(A:A,Student_Analysis_Ready!A:F,6,FALSE)</f>
        <v/>
      </c>
      <c r="D19" s="14">
        <f>VLOOKUP(A:A,Student_Analysis_Ready!A:E,5,FALSE)</f>
        <v/>
      </c>
      <c r="E19" s="14">
        <f>IFERROR(VLOOKUP(A:A,Attendence_Analysis_Ready!A:F,6,FALSE),"0")</f>
        <v/>
      </c>
      <c r="F19" s="14">
        <f>IFERROR(VLOOKUP(A:A,Assessment_Analysis_Ready!A:C,3,FALSE),"Not Available")</f>
        <v/>
      </c>
      <c r="G19" s="16">
        <f>IFERROR(VLOOKUP(A:A,Assessment_Analysis_Ready!A:D,4,FALSE),"Not Available")</f>
        <v/>
      </c>
      <c r="H19" s="14">
        <f>IFERROR(VLOOKUP(A:A,Assessment_Analysis_Ready!A:E,5,FALSE),"Not Available")</f>
        <v/>
      </c>
      <c r="I19" s="14">
        <f>IFERROR(VLOOKUP(A:A,Assessment_Analysis_Ready!A:F,6,FALSE),"Not Available")</f>
        <v/>
      </c>
      <c r="J19" s="14">
        <f>IFERROR(VLOOKUP(A:A,Discipline_Analysis_Ready!A:C,3,FALSE),"Not Available")</f>
        <v/>
      </c>
      <c r="K19" s="14">
        <f>IFERROR(VLOOKUP(A:A,Discipline_Analysis_Ready!A:D,4,FALSE),"Not Available")</f>
        <v/>
      </c>
    </row>
    <row r="20">
      <c r="A20" s="15" t="inlineStr">
        <is>
          <t>S1021</t>
        </is>
      </c>
      <c r="B20" s="14">
        <f>VLOOKUP(A20,Student_Analysis_Ready!A:D,4,FALSE)</f>
        <v/>
      </c>
      <c r="C20" s="14">
        <f>VLOOKUP(A:A,Student_Analysis_Ready!A:F,6,FALSE)</f>
        <v/>
      </c>
      <c r="D20" s="14">
        <f>VLOOKUP(A:A,Student_Analysis_Ready!A:E,5,FALSE)</f>
        <v/>
      </c>
      <c r="E20" s="14">
        <f>IFERROR(VLOOKUP(A:A,Attendence_Analysis_Ready!A:F,6,FALSE),"0")</f>
        <v/>
      </c>
      <c r="F20" s="14">
        <f>IFERROR(VLOOKUP(A:A,Assessment_Analysis_Ready!A:C,3,FALSE),"Not Available")</f>
        <v/>
      </c>
      <c r="G20" s="16">
        <f>IFERROR(VLOOKUP(A:A,Assessment_Analysis_Ready!A:D,4,FALSE),"Not Available")</f>
        <v/>
      </c>
      <c r="H20" s="14">
        <f>IFERROR(VLOOKUP(A:A,Assessment_Analysis_Ready!A:E,5,FALSE),"Not Available")</f>
        <v/>
      </c>
      <c r="I20" s="14">
        <f>IFERROR(VLOOKUP(A:A,Assessment_Analysis_Ready!A:F,6,FALSE),"Not Available")</f>
        <v/>
      </c>
      <c r="J20" s="14">
        <f>IFERROR(VLOOKUP(A:A,Discipline_Analysis_Ready!A:C,3,FALSE),"Not Available")</f>
        <v/>
      </c>
      <c r="K20" s="14">
        <f>IFERROR(VLOOKUP(A:A,Discipline_Analysis_Ready!A:D,4,FALSE),"Not Available")</f>
        <v/>
      </c>
    </row>
    <row r="21">
      <c r="A21" s="15" t="inlineStr">
        <is>
          <t>S1022</t>
        </is>
      </c>
      <c r="B21" s="14">
        <f>VLOOKUP(A21,Student_Analysis_Ready!A:D,4,FALSE)</f>
        <v/>
      </c>
      <c r="C21" s="14">
        <f>VLOOKUP(A:A,Student_Analysis_Ready!A:F,6,FALSE)</f>
        <v/>
      </c>
      <c r="D21" s="14">
        <f>VLOOKUP(A:A,Student_Analysis_Ready!A:E,5,FALSE)</f>
        <v/>
      </c>
      <c r="E21" s="14">
        <f>IFERROR(VLOOKUP(A:A,Attendence_Analysis_Ready!A:F,6,FALSE),"0")</f>
        <v/>
      </c>
      <c r="F21" s="14">
        <f>IFERROR(VLOOKUP(A:A,Assessment_Analysis_Ready!A:C,3,FALSE),"Not Available")</f>
        <v/>
      </c>
      <c r="G21" s="16">
        <f>IFERROR(VLOOKUP(A:A,Assessment_Analysis_Ready!A:D,4,FALSE),"Not Available")</f>
        <v/>
      </c>
      <c r="H21" s="14">
        <f>IFERROR(VLOOKUP(A:A,Assessment_Analysis_Ready!A:E,5,FALSE),"Not Available")</f>
        <v/>
      </c>
      <c r="I21" s="14">
        <f>IFERROR(VLOOKUP(A:A,Assessment_Analysis_Ready!A:F,6,FALSE),"Not Available")</f>
        <v/>
      </c>
      <c r="J21" s="14">
        <f>IFERROR(VLOOKUP(A:A,Discipline_Analysis_Ready!A:C,3,FALSE),"Not Available")</f>
        <v/>
      </c>
      <c r="K21" s="14">
        <f>IFERROR(VLOOKUP(A:A,Discipline_Analysis_Ready!A:D,4,FALSE),"Not Available")</f>
        <v/>
      </c>
    </row>
    <row r="22">
      <c r="A22" s="15" t="inlineStr">
        <is>
          <t>S1023</t>
        </is>
      </c>
      <c r="B22" s="14">
        <f>VLOOKUP(A22,Student_Analysis_Ready!A:D,4,FALSE)</f>
        <v/>
      </c>
      <c r="C22" s="14">
        <f>VLOOKUP(A:A,Student_Analysis_Ready!A:F,6,FALSE)</f>
        <v/>
      </c>
      <c r="D22" s="14">
        <f>VLOOKUP(A:A,Student_Analysis_Ready!A:E,5,FALSE)</f>
        <v/>
      </c>
      <c r="E22" s="14">
        <f>IFERROR(VLOOKUP(A:A,Attendence_Analysis_Ready!A:F,6,FALSE),"0")</f>
        <v/>
      </c>
      <c r="F22" s="14">
        <f>IFERROR(VLOOKUP(A:A,Assessment_Analysis_Ready!A:C,3,FALSE),"Not Available")</f>
        <v/>
      </c>
      <c r="G22" s="16">
        <f>IFERROR(VLOOKUP(A:A,Assessment_Analysis_Ready!A:D,4,FALSE),"Not Available")</f>
        <v/>
      </c>
      <c r="H22" s="14">
        <f>IFERROR(VLOOKUP(A:A,Assessment_Analysis_Ready!A:E,5,FALSE),"Not Available")</f>
        <v/>
      </c>
      <c r="I22" s="14">
        <f>IFERROR(VLOOKUP(A:A,Assessment_Analysis_Ready!A:F,6,FALSE),"Not Available")</f>
        <v/>
      </c>
      <c r="J22" s="14">
        <f>IFERROR(VLOOKUP(A:A,Discipline_Analysis_Ready!A:C,3,FALSE),"Not Available")</f>
        <v/>
      </c>
      <c r="K22" s="14">
        <f>IFERROR(VLOOKUP(A:A,Discipline_Analysis_Ready!A:D,4,FALSE),"Not Available")</f>
        <v/>
      </c>
    </row>
    <row r="23">
      <c r="A23" s="15" t="inlineStr">
        <is>
          <t>S1024</t>
        </is>
      </c>
      <c r="B23" s="14">
        <f>VLOOKUP(A23,Student_Analysis_Ready!A:D,4,FALSE)</f>
        <v/>
      </c>
      <c r="C23" s="14">
        <f>VLOOKUP(A:A,Student_Analysis_Ready!A:F,6,FALSE)</f>
        <v/>
      </c>
      <c r="D23" s="14">
        <f>VLOOKUP(A:A,Student_Analysis_Ready!A:E,5,FALSE)</f>
        <v/>
      </c>
      <c r="E23" s="14">
        <f>IFERROR(VLOOKUP(A:A,Attendence_Analysis_Ready!A:F,6,FALSE),"0")</f>
        <v/>
      </c>
      <c r="F23" s="14">
        <f>IFERROR(VLOOKUP(A:A,Assessment_Analysis_Ready!A:C,3,FALSE),"Not Available")</f>
        <v/>
      </c>
      <c r="G23" s="16">
        <f>IFERROR(VLOOKUP(A:A,Assessment_Analysis_Ready!A:D,4,FALSE),"Not Available")</f>
        <v/>
      </c>
      <c r="H23" s="14">
        <f>IFERROR(VLOOKUP(A:A,Assessment_Analysis_Ready!A:E,5,FALSE),"Not Available")</f>
        <v/>
      </c>
      <c r="I23" s="14">
        <f>IFERROR(VLOOKUP(A:A,Assessment_Analysis_Ready!A:F,6,FALSE),"Not Available")</f>
        <v/>
      </c>
      <c r="J23" s="14">
        <f>IFERROR(VLOOKUP(A:A,Discipline_Analysis_Ready!A:C,3,FALSE),"Not Available")</f>
        <v/>
      </c>
      <c r="K23" s="14">
        <f>IFERROR(VLOOKUP(A:A,Discipline_Analysis_Ready!A:D,4,FALSE),"Not Available")</f>
        <v/>
      </c>
    </row>
    <row r="24">
      <c r="A24" s="15" t="inlineStr">
        <is>
          <t>S1025</t>
        </is>
      </c>
      <c r="B24" s="14">
        <f>VLOOKUP(A24,Student_Analysis_Ready!A:D,4,FALSE)</f>
        <v/>
      </c>
      <c r="C24" s="14">
        <f>VLOOKUP(A:A,Student_Analysis_Ready!A:F,6,FALSE)</f>
        <v/>
      </c>
      <c r="D24" s="14">
        <f>VLOOKUP(A:A,Student_Analysis_Ready!A:E,5,FALSE)</f>
        <v/>
      </c>
      <c r="E24" s="14">
        <f>IFERROR(VLOOKUP(A:A,Attendence_Analysis_Ready!A:F,6,FALSE),"0")</f>
        <v/>
      </c>
      <c r="F24" s="14">
        <f>IFERROR(VLOOKUP(A:A,Assessment_Analysis_Ready!A:C,3,FALSE),"Not Available")</f>
        <v/>
      </c>
      <c r="G24" s="16">
        <f>IFERROR(VLOOKUP(A:A,Assessment_Analysis_Ready!A:D,4,FALSE),"Not Available")</f>
        <v/>
      </c>
      <c r="H24" s="14">
        <f>IFERROR(VLOOKUP(A:A,Assessment_Analysis_Ready!A:E,5,FALSE),"Not Available")</f>
        <v/>
      </c>
      <c r="I24" s="14">
        <f>IFERROR(VLOOKUP(A:A,Assessment_Analysis_Ready!A:F,6,FALSE),"Not Available")</f>
        <v/>
      </c>
      <c r="J24" s="14">
        <f>IFERROR(VLOOKUP(A:A,Discipline_Analysis_Ready!A:C,3,FALSE),"Not Available")</f>
        <v/>
      </c>
      <c r="K24" s="14">
        <f>IFERROR(VLOOKUP(A:A,Discipline_Analysis_Ready!A:D,4,FALSE),"Not Available")</f>
        <v/>
      </c>
    </row>
    <row r="25">
      <c r="A25" s="15" t="inlineStr">
        <is>
          <t>S1026</t>
        </is>
      </c>
      <c r="B25" s="14">
        <f>VLOOKUP(A25,Student_Analysis_Ready!A:D,4,FALSE)</f>
        <v/>
      </c>
      <c r="C25" s="14">
        <f>VLOOKUP(A:A,Student_Analysis_Ready!A:F,6,FALSE)</f>
        <v/>
      </c>
      <c r="D25" s="14">
        <f>VLOOKUP(A:A,Student_Analysis_Ready!A:E,5,FALSE)</f>
        <v/>
      </c>
      <c r="E25" s="14">
        <f>IFERROR(VLOOKUP(A:A,Attendence_Analysis_Ready!A:F,6,FALSE),"0")</f>
        <v/>
      </c>
      <c r="F25" s="14">
        <f>IFERROR(VLOOKUP(A:A,Assessment_Analysis_Ready!A:C,3,FALSE),"Not Available")</f>
        <v/>
      </c>
      <c r="G25" s="16">
        <f>IFERROR(VLOOKUP(A:A,Assessment_Analysis_Ready!A:D,4,FALSE),"Not Available")</f>
        <v/>
      </c>
      <c r="H25" s="14">
        <f>IFERROR(VLOOKUP(A:A,Assessment_Analysis_Ready!A:E,5,FALSE),"Not Available")</f>
        <v/>
      </c>
      <c r="I25" s="14">
        <f>IFERROR(VLOOKUP(A:A,Assessment_Analysis_Ready!A:F,6,FALSE),"Not Available")</f>
        <v/>
      </c>
      <c r="J25" s="14">
        <f>IFERROR(VLOOKUP(A:A,Discipline_Analysis_Ready!A:C,3,FALSE),"Not Available")</f>
        <v/>
      </c>
      <c r="K25" s="14">
        <f>IFERROR(VLOOKUP(A:A,Discipline_Analysis_Ready!A:D,4,FALSE),"Not Available")</f>
        <v/>
      </c>
    </row>
    <row r="26">
      <c r="A26" s="15" t="inlineStr">
        <is>
          <t>S1027</t>
        </is>
      </c>
      <c r="B26" s="14">
        <f>VLOOKUP(A26,Student_Analysis_Ready!A:D,4,FALSE)</f>
        <v/>
      </c>
      <c r="C26" s="14">
        <f>VLOOKUP(A:A,Student_Analysis_Ready!A:F,6,FALSE)</f>
        <v/>
      </c>
      <c r="D26" s="14">
        <f>VLOOKUP(A:A,Student_Analysis_Ready!A:E,5,FALSE)</f>
        <v/>
      </c>
      <c r="E26" s="14">
        <f>IFERROR(VLOOKUP(A:A,Attendence_Analysis_Ready!A:F,6,FALSE),"0")</f>
        <v/>
      </c>
      <c r="F26" s="14">
        <f>IFERROR(VLOOKUP(A:A,Assessment_Analysis_Ready!A:C,3,FALSE),"Not Available")</f>
        <v/>
      </c>
      <c r="G26" s="16">
        <f>IFERROR(VLOOKUP(A:A,Assessment_Analysis_Ready!A:D,4,FALSE),"Not Available")</f>
        <v/>
      </c>
      <c r="H26" s="14">
        <f>IFERROR(VLOOKUP(A:A,Assessment_Analysis_Ready!A:E,5,FALSE),"Not Available")</f>
        <v/>
      </c>
      <c r="I26" s="14">
        <f>IFERROR(VLOOKUP(A:A,Assessment_Analysis_Ready!A:F,6,FALSE),"Not Available")</f>
        <v/>
      </c>
      <c r="J26" s="14">
        <f>IFERROR(VLOOKUP(A:A,Discipline_Analysis_Ready!A:C,3,FALSE),"Not Available")</f>
        <v/>
      </c>
      <c r="K26" s="14">
        <f>IFERROR(VLOOKUP(A:A,Discipline_Analysis_Ready!A:D,4,FALSE),"Not Available")</f>
        <v/>
      </c>
    </row>
    <row r="27">
      <c r="A27" s="15" t="inlineStr">
        <is>
          <t>S1028</t>
        </is>
      </c>
      <c r="B27" s="14">
        <f>VLOOKUP(A27,Student_Analysis_Ready!A:D,4,FALSE)</f>
        <v/>
      </c>
      <c r="C27" s="14">
        <f>VLOOKUP(A:A,Student_Analysis_Ready!A:F,6,FALSE)</f>
        <v/>
      </c>
      <c r="D27" s="14">
        <f>VLOOKUP(A:A,Student_Analysis_Ready!A:E,5,FALSE)</f>
        <v/>
      </c>
      <c r="E27" s="14">
        <f>IFERROR(VLOOKUP(A:A,Attendence_Analysis_Ready!A:F,6,FALSE),"0")</f>
        <v/>
      </c>
      <c r="F27" s="14">
        <f>IFERROR(VLOOKUP(A:A,Assessment_Analysis_Ready!A:C,3,FALSE),"Not Available")</f>
        <v/>
      </c>
      <c r="G27" s="16">
        <f>IFERROR(VLOOKUP(A:A,Assessment_Analysis_Ready!A:D,4,FALSE),"Not Available")</f>
        <v/>
      </c>
      <c r="H27" s="14">
        <f>IFERROR(VLOOKUP(A:A,Assessment_Analysis_Ready!A:E,5,FALSE),"Not Available")</f>
        <v/>
      </c>
      <c r="I27" s="14">
        <f>IFERROR(VLOOKUP(A:A,Assessment_Analysis_Ready!A:F,6,FALSE),"Not Available")</f>
        <v/>
      </c>
      <c r="J27" s="14">
        <f>IFERROR(VLOOKUP(A:A,Discipline_Analysis_Ready!A:C,3,FALSE),"Not Available")</f>
        <v/>
      </c>
      <c r="K27" s="14">
        <f>IFERROR(VLOOKUP(A:A,Discipline_Analysis_Ready!A:D,4,FALSE),"Not Available")</f>
        <v/>
      </c>
    </row>
    <row r="28">
      <c r="A28" s="15" t="inlineStr">
        <is>
          <t>S1029</t>
        </is>
      </c>
      <c r="B28" s="14">
        <f>VLOOKUP(A28,Student_Analysis_Ready!A:D,4,FALSE)</f>
        <v/>
      </c>
      <c r="C28" s="14">
        <f>VLOOKUP(A:A,Student_Analysis_Ready!A:F,6,FALSE)</f>
        <v/>
      </c>
      <c r="D28" s="14">
        <f>VLOOKUP(A:A,Student_Analysis_Ready!A:E,5,FALSE)</f>
        <v/>
      </c>
      <c r="E28" s="14">
        <f>IFERROR(VLOOKUP(A:A,Attendence_Analysis_Ready!A:F,6,FALSE),"0")</f>
        <v/>
      </c>
      <c r="F28" s="14">
        <f>IFERROR(VLOOKUP(A:A,Assessment_Analysis_Ready!A:C,3,FALSE),"Not Available")</f>
        <v/>
      </c>
      <c r="G28" s="16">
        <f>IFERROR(VLOOKUP(A:A,Assessment_Analysis_Ready!A:D,4,FALSE),"Not Available")</f>
        <v/>
      </c>
      <c r="H28" s="14">
        <f>IFERROR(VLOOKUP(A:A,Assessment_Analysis_Ready!A:E,5,FALSE),"Not Available")</f>
        <v/>
      </c>
      <c r="I28" s="14">
        <f>IFERROR(VLOOKUP(A:A,Assessment_Analysis_Ready!A:F,6,FALSE),"Not Available")</f>
        <v/>
      </c>
      <c r="J28" s="14">
        <f>IFERROR(VLOOKUP(A:A,Discipline_Analysis_Ready!A:C,3,FALSE),"Not Available")</f>
        <v/>
      </c>
      <c r="K28" s="14">
        <f>IFERROR(VLOOKUP(A:A,Discipline_Analysis_Ready!A:D,4,FALSE),"Not Available")</f>
        <v/>
      </c>
    </row>
    <row r="29">
      <c r="A29" s="15" t="inlineStr">
        <is>
          <t>S1030</t>
        </is>
      </c>
      <c r="B29" s="14">
        <f>VLOOKUP(A29,Student_Analysis_Ready!A:D,4,FALSE)</f>
        <v/>
      </c>
      <c r="C29" s="14">
        <f>VLOOKUP(A:A,Student_Analysis_Ready!A:F,6,FALSE)</f>
        <v/>
      </c>
      <c r="D29" s="14">
        <f>VLOOKUP(A:A,Student_Analysis_Ready!A:E,5,FALSE)</f>
        <v/>
      </c>
      <c r="E29" s="14">
        <f>IFERROR(VLOOKUP(A:A,Attendence_Analysis_Ready!A:F,6,FALSE),"0")</f>
        <v/>
      </c>
      <c r="F29" s="14">
        <f>IFERROR(VLOOKUP(A:A,Assessment_Analysis_Ready!A:C,3,FALSE),"Not Available")</f>
        <v/>
      </c>
      <c r="G29" s="16">
        <f>IFERROR(VLOOKUP(A:A,Assessment_Analysis_Ready!A:D,4,FALSE),"Not Available")</f>
        <v/>
      </c>
      <c r="H29" s="14">
        <f>IFERROR(VLOOKUP(A:A,Assessment_Analysis_Ready!A:E,5,FALSE),"Not Available")</f>
        <v/>
      </c>
      <c r="I29" s="14">
        <f>IFERROR(VLOOKUP(A:A,Assessment_Analysis_Ready!A:F,6,FALSE),"Not Available")</f>
        <v/>
      </c>
      <c r="J29" s="14">
        <f>IFERROR(VLOOKUP(A:A,Discipline_Analysis_Ready!A:C,3,FALSE),"Not Available")</f>
        <v/>
      </c>
      <c r="K29" s="14">
        <f>IFERROR(VLOOKUP(A:A,Discipline_Analysis_Ready!A:D,4,FALSE),"Not Available")</f>
        <v/>
      </c>
    </row>
    <row r="30">
      <c r="A30" s="15" t="inlineStr">
        <is>
          <t>S1031</t>
        </is>
      </c>
      <c r="B30" s="14">
        <f>VLOOKUP(A30,Student_Analysis_Ready!A:D,4,FALSE)</f>
        <v/>
      </c>
      <c r="C30" s="14">
        <f>VLOOKUP(A:A,Student_Analysis_Ready!A:F,6,FALSE)</f>
        <v/>
      </c>
      <c r="D30" s="14">
        <f>VLOOKUP(A:A,Student_Analysis_Ready!A:E,5,FALSE)</f>
        <v/>
      </c>
      <c r="E30" s="14">
        <f>IFERROR(VLOOKUP(A:A,Attendence_Analysis_Ready!A:F,6,FALSE),"0")</f>
        <v/>
      </c>
      <c r="F30" s="14">
        <f>IFERROR(VLOOKUP(A:A,Assessment_Analysis_Ready!A:C,3,FALSE),"Not Available")</f>
        <v/>
      </c>
      <c r="G30" s="16">
        <f>IFERROR(VLOOKUP(A:A,Assessment_Analysis_Ready!A:D,4,FALSE),"Not Available")</f>
        <v/>
      </c>
      <c r="H30" s="14">
        <f>IFERROR(VLOOKUP(A:A,Assessment_Analysis_Ready!A:E,5,FALSE),"Not Available")</f>
        <v/>
      </c>
      <c r="I30" s="14">
        <f>IFERROR(VLOOKUP(A:A,Assessment_Analysis_Ready!A:F,6,FALSE),"Not Available")</f>
        <v/>
      </c>
      <c r="J30" s="14">
        <f>IFERROR(VLOOKUP(A:A,Discipline_Analysis_Ready!A:C,3,FALSE),"Not Available")</f>
        <v/>
      </c>
      <c r="K30" s="14">
        <f>IFERROR(VLOOKUP(A:A,Discipline_Analysis_Ready!A:D,4,FALSE),"Not Available")</f>
        <v/>
      </c>
    </row>
    <row r="31">
      <c r="A31" s="15" t="inlineStr">
        <is>
          <t>S1032</t>
        </is>
      </c>
      <c r="B31" s="14">
        <f>VLOOKUP(A31,Student_Analysis_Ready!A:D,4,FALSE)</f>
        <v/>
      </c>
      <c r="C31" s="14">
        <f>VLOOKUP(A:A,Student_Analysis_Ready!A:F,6,FALSE)</f>
        <v/>
      </c>
      <c r="D31" s="14">
        <f>VLOOKUP(A:A,Student_Analysis_Ready!A:E,5,FALSE)</f>
        <v/>
      </c>
      <c r="E31" s="14">
        <f>IFERROR(VLOOKUP(A:A,Attendence_Analysis_Ready!A:F,6,FALSE),"0")</f>
        <v/>
      </c>
      <c r="F31" s="14">
        <f>IFERROR(VLOOKUP(A:A,Assessment_Analysis_Ready!A:C,3,FALSE),"Not Available")</f>
        <v/>
      </c>
      <c r="G31" s="16">
        <f>IFERROR(VLOOKUP(A:A,Assessment_Analysis_Ready!A:D,4,FALSE),"Not Available")</f>
        <v/>
      </c>
      <c r="H31" s="14">
        <f>IFERROR(VLOOKUP(A:A,Assessment_Analysis_Ready!A:E,5,FALSE),"Not Available")</f>
        <v/>
      </c>
      <c r="I31" s="14">
        <f>IFERROR(VLOOKUP(A:A,Assessment_Analysis_Ready!A:F,6,FALSE),"Not Available")</f>
        <v/>
      </c>
      <c r="J31" s="14">
        <f>IFERROR(VLOOKUP(A:A,Discipline_Analysis_Ready!A:C,3,FALSE),"Not Available")</f>
        <v/>
      </c>
      <c r="K31" s="14">
        <f>IFERROR(VLOOKUP(A:A,Discipline_Analysis_Ready!A:D,4,FALSE),"Not Available")</f>
        <v/>
      </c>
    </row>
    <row r="32">
      <c r="A32" s="15" t="inlineStr">
        <is>
          <t>S1033</t>
        </is>
      </c>
      <c r="B32" s="14">
        <f>VLOOKUP(A32,Student_Analysis_Ready!A:D,4,FALSE)</f>
        <v/>
      </c>
      <c r="C32" s="14">
        <f>VLOOKUP(A:A,Student_Analysis_Ready!A:F,6,FALSE)</f>
        <v/>
      </c>
      <c r="D32" s="14">
        <f>VLOOKUP(A:A,Student_Analysis_Ready!A:E,5,FALSE)</f>
        <v/>
      </c>
      <c r="E32" s="14">
        <f>IFERROR(VLOOKUP(A:A,Attendence_Analysis_Ready!A:F,6,FALSE),"0")</f>
        <v/>
      </c>
      <c r="F32" s="14">
        <f>IFERROR(VLOOKUP(A:A,Assessment_Analysis_Ready!A:C,3,FALSE),"Not Available")</f>
        <v/>
      </c>
      <c r="G32" s="16">
        <f>IFERROR(VLOOKUP(A:A,Assessment_Analysis_Ready!A:D,4,FALSE),"Not Available")</f>
        <v/>
      </c>
      <c r="H32" s="14">
        <f>IFERROR(VLOOKUP(A:A,Assessment_Analysis_Ready!A:E,5,FALSE),"Not Available")</f>
        <v/>
      </c>
      <c r="I32" s="14">
        <f>IFERROR(VLOOKUP(A:A,Assessment_Analysis_Ready!A:F,6,FALSE),"Not Available")</f>
        <v/>
      </c>
      <c r="J32" s="14">
        <f>IFERROR(VLOOKUP(A:A,Discipline_Analysis_Ready!A:C,3,FALSE),"Not Available")</f>
        <v/>
      </c>
      <c r="K32" s="14">
        <f>IFERROR(VLOOKUP(A:A,Discipline_Analysis_Ready!A:D,4,FALSE),"Not Available")</f>
        <v/>
      </c>
    </row>
    <row r="33">
      <c r="A33" s="15" t="inlineStr">
        <is>
          <t>S1034</t>
        </is>
      </c>
      <c r="B33" s="14">
        <f>VLOOKUP(A33,Student_Analysis_Ready!A:D,4,FALSE)</f>
        <v/>
      </c>
      <c r="C33" s="14">
        <f>VLOOKUP(A:A,Student_Analysis_Ready!A:F,6,FALSE)</f>
        <v/>
      </c>
      <c r="D33" s="14">
        <f>VLOOKUP(A:A,Student_Analysis_Ready!A:E,5,FALSE)</f>
        <v/>
      </c>
      <c r="E33" s="14">
        <f>IFERROR(VLOOKUP(A:A,Attendence_Analysis_Ready!A:F,6,FALSE),"0")</f>
        <v/>
      </c>
      <c r="F33" s="14">
        <f>IFERROR(VLOOKUP(A:A,Assessment_Analysis_Ready!A:C,3,FALSE),"Not Available")</f>
        <v/>
      </c>
      <c r="G33" s="16">
        <f>IFERROR(VLOOKUP(A:A,Assessment_Analysis_Ready!A:D,4,FALSE),"Not Available")</f>
        <v/>
      </c>
      <c r="H33" s="14">
        <f>IFERROR(VLOOKUP(A:A,Assessment_Analysis_Ready!A:E,5,FALSE),"Not Available")</f>
        <v/>
      </c>
      <c r="I33" s="14">
        <f>IFERROR(VLOOKUP(A:A,Assessment_Analysis_Ready!A:F,6,FALSE),"Not Available")</f>
        <v/>
      </c>
      <c r="J33" s="14">
        <f>IFERROR(VLOOKUP(A:A,Discipline_Analysis_Ready!A:C,3,FALSE),"Not Available")</f>
        <v/>
      </c>
      <c r="K33" s="14">
        <f>IFERROR(VLOOKUP(A:A,Discipline_Analysis_Ready!A:D,4,FALSE),"Not Available")</f>
        <v/>
      </c>
    </row>
    <row r="34">
      <c r="A34" s="15" t="inlineStr">
        <is>
          <t>S1035</t>
        </is>
      </c>
      <c r="B34" s="14">
        <f>VLOOKUP(A34,Student_Analysis_Ready!A:D,4,FALSE)</f>
        <v/>
      </c>
      <c r="C34" s="14">
        <f>VLOOKUP(A:A,Student_Analysis_Ready!A:F,6,FALSE)</f>
        <v/>
      </c>
      <c r="D34" s="14">
        <f>VLOOKUP(A:A,Student_Analysis_Ready!A:E,5,FALSE)</f>
        <v/>
      </c>
      <c r="E34" s="14">
        <f>IFERROR(VLOOKUP(A:A,Attendence_Analysis_Ready!A:F,6,FALSE),"0")</f>
        <v/>
      </c>
      <c r="F34" s="14">
        <f>IFERROR(VLOOKUP(A:A,Assessment_Analysis_Ready!A:C,3,FALSE),"Not Available")</f>
        <v/>
      </c>
      <c r="G34" s="16">
        <f>IFERROR(VLOOKUP(A:A,Assessment_Analysis_Ready!A:D,4,FALSE),"Not Available")</f>
        <v/>
      </c>
      <c r="H34" s="14">
        <f>IFERROR(VLOOKUP(A:A,Assessment_Analysis_Ready!A:E,5,FALSE),"Not Available")</f>
        <v/>
      </c>
      <c r="I34" s="14">
        <f>IFERROR(VLOOKUP(A:A,Assessment_Analysis_Ready!A:F,6,FALSE),"Not Available")</f>
        <v/>
      </c>
      <c r="J34" s="14">
        <f>IFERROR(VLOOKUP(A:A,Discipline_Analysis_Ready!A:C,3,FALSE),"Not Available")</f>
        <v/>
      </c>
      <c r="K34" s="14">
        <f>IFERROR(VLOOKUP(A:A,Discipline_Analysis_Ready!A:D,4,FALSE),"Not Available")</f>
        <v/>
      </c>
    </row>
    <row r="35">
      <c r="A35" s="15" t="inlineStr">
        <is>
          <t>S1036</t>
        </is>
      </c>
      <c r="B35" s="14">
        <f>VLOOKUP(A35,Student_Analysis_Ready!A:D,4,FALSE)</f>
        <v/>
      </c>
      <c r="C35" s="14">
        <f>VLOOKUP(A:A,Student_Analysis_Ready!A:F,6,FALSE)</f>
        <v/>
      </c>
      <c r="D35" s="14">
        <f>VLOOKUP(A:A,Student_Analysis_Ready!A:E,5,FALSE)</f>
        <v/>
      </c>
      <c r="E35" s="14">
        <f>IFERROR(VLOOKUP(A:A,Attendence_Analysis_Ready!A:F,6,FALSE),"0")</f>
        <v/>
      </c>
      <c r="F35" s="14">
        <f>IFERROR(VLOOKUP(A:A,Assessment_Analysis_Ready!A:C,3,FALSE),"Not Available")</f>
        <v/>
      </c>
      <c r="G35" s="16">
        <f>IFERROR(VLOOKUP(A:A,Assessment_Analysis_Ready!A:D,4,FALSE),"Not Available")</f>
        <v/>
      </c>
      <c r="H35" s="14">
        <f>IFERROR(VLOOKUP(A:A,Assessment_Analysis_Ready!A:E,5,FALSE),"Not Available")</f>
        <v/>
      </c>
      <c r="I35" s="14">
        <f>IFERROR(VLOOKUP(A:A,Assessment_Analysis_Ready!A:F,6,FALSE),"Not Available")</f>
        <v/>
      </c>
      <c r="J35" s="14">
        <f>IFERROR(VLOOKUP(A:A,Discipline_Analysis_Ready!A:C,3,FALSE),"Not Available")</f>
        <v/>
      </c>
      <c r="K35" s="14">
        <f>IFERROR(VLOOKUP(A:A,Discipline_Analysis_Ready!A:D,4,FALSE),"Not Available")</f>
        <v/>
      </c>
    </row>
    <row r="36">
      <c r="A36" s="15" t="inlineStr">
        <is>
          <t>S1037</t>
        </is>
      </c>
      <c r="B36" s="14">
        <f>VLOOKUP(A36,Student_Analysis_Ready!A:D,4,FALSE)</f>
        <v/>
      </c>
      <c r="C36" s="14">
        <f>VLOOKUP(A:A,Student_Analysis_Ready!A:F,6,FALSE)</f>
        <v/>
      </c>
      <c r="D36" s="14">
        <f>VLOOKUP(A:A,Student_Analysis_Ready!A:E,5,FALSE)</f>
        <v/>
      </c>
      <c r="E36" s="14">
        <f>IFERROR(VLOOKUP(A:A,Attendence_Analysis_Ready!A:F,6,FALSE),"0")</f>
        <v/>
      </c>
      <c r="F36" s="14">
        <f>IFERROR(VLOOKUP(A:A,Assessment_Analysis_Ready!A:C,3,FALSE),"Not Available")</f>
        <v/>
      </c>
      <c r="G36" s="16">
        <f>IFERROR(VLOOKUP(A:A,Assessment_Analysis_Ready!A:D,4,FALSE),"Not Available")</f>
        <v/>
      </c>
      <c r="H36" s="14">
        <f>IFERROR(VLOOKUP(A:A,Assessment_Analysis_Ready!A:E,5,FALSE),"Not Available")</f>
        <v/>
      </c>
      <c r="I36" s="14">
        <f>IFERROR(VLOOKUP(A:A,Assessment_Analysis_Ready!A:F,6,FALSE),"Not Available")</f>
        <v/>
      </c>
      <c r="J36" s="14">
        <f>IFERROR(VLOOKUP(A:A,Discipline_Analysis_Ready!A:C,3,FALSE),"Not Available")</f>
        <v/>
      </c>
      <c r="K36" s="14">
        <f>IFERROR(VLOOKUP(A:A,Discipline_Analysis_Ready!A:D,4,FALSE),"Not Available")</f>
        <v/>
      </c>
    </row>
    <row r="37">
      <c r="A37" s="15" t="inlineStr">
        <is>
          <t>S1038</t>
        </is>
      </c>
      <c r="B37" s="14">
        <f>VLOOKUP(A37,Student_Analysis_Ready!A:D,4,FALSE)</f>
        <v/>
      </c>
      <c r="C37" s="14">
        <f>VLOOKUP(A:A,Student_Analysis_Ready!A:F,6,FALSE)</f>
        <v/>
      </c>
      <c r="D37" s="14">
        <f>VLOOKUP(A:A,Student_Analysis_Ready!A:E,5,FALSE)</f>
        <v/>
      </c>
      <c r="E37" s="14">
        <f>IFERROR(VLOOKUP(A:A,Attendence_Analysis_Ready!A:F,6,FALSE),"0")</f>
        <v/>
      </c>
      <c r="F37" s="14">
        <f>IFERROR(VLOOKUP(A:A,Assessment_Analysis_Ready!A:C,3,FALSE),"Not Available")</f>
        <v/>
      </c>
      <c r="G37" s="16">
        <f>IFERROR(VLOOKUP(A:A,Assessment_Analysis_Ready!A:D,4,FALSE),"Not Available")</f>
        <v/>
      </c>
      <c r="H37" s="14">
        <f>IFERROR(VLOOKUP(A:A,Assessment_Analysis_Ready!A:E,5,FALSE),"Not Available")</f>
        <v/>
      </c>
      <c r="I37" s="14">
        <f>IFERROR(VLOOKUP(A:A,Assessment_Analysis_Ready!A:F,6,FALSE),"Not Available")</f>
        <v/>
      </c>
      <c r="J37" s="14">
        <f>IFERROR(VLOOKUP(A:A,Discipline_Analysis_Ready!A:C,3,FALSE),"Not Available")</f>
        <v/>
      </c>
      <c r="K37" s="14">
        <f>IFERROR(VLOOKUP(A:A,Discipline_Analysis_Ready!A:D,4,FALSE),"Not Available")</f>
        <v/>
      </c>
    </row>
    <row r="38">
      <c r="A38" s="15" t="inlineStr">
        <is>
          <t>S1039</t>
        </is>
      </c>
      <c r="B38" s="14">
        <f>VLOOKUP(A38,Student_Analysis_Ready!A:D,4,FALSE)</f>
        <v/>
      </c>
      <c r="C38" s="14">
        <f>VLOOKUP(A:A,Student_Analysis_Ready!A:F,6,FALSE)</f>
        <v/>
      </c>
      <c r="D38" s="14">
        <f>VLOOKUP(A:A,Student_Analysis_Ready!A:E,5,FALSE)</f>
        <v/>
      </c>
      <c r="E38" s="14">
        <f>IFERROR(VLOOKUP(A:A,Attendence_Analysis_Ready!A:F,6,FALSE),"0")</f>
        <v/>
      </c>
      <c r="F38" s="14">
        <f>IFERROR(VLOOKUP(A:A,Assessment_Analysis_Ready!A:C,3,FALSE),"Not Available")</f>
        <v/>
      </c>
      <c r="G38" s="16">
        <f>IFERROR(VLOOKUP(A:A,Assessment_Analysis_Ready!A:D,4,FALSE),"Not Available")</f>
        <v/>
      </c>
      <c r="H38" s="14">
        <f>IFERROR(VLOOKUP(A:A,Assessment_Analysis_Ready!A:E,5,FALSE),"Not Available")</f>
        <v/>
      </c>
      <c r="I38" s="14">
        <f>IFERROR(VLOOKUP(A:A,Assessment_Analysis_Ready!A:F,6,FALSE),"Not Available")</f>
        <v/>
      </c>
      <c r="J38" s="14">
        <f>IFERROR(VLOOKUP(A:A,Discipline_Analysis_Ready!A:C,3,FALSE),"Not Available")</f>
        <v/>
      </c>
      <c r="K38" s="14">
        <f>IFERROR(VLOOKUP(A:A,Discipline_Analysis_Ready!A:D,4,FALSE),"Not Available")</f>
        <v/>
      </c>
    </row>
    <row r="39">
      <c r="A39" s="15" t="inlineStr">
        <is>
          <t>S1040</t>
        </is>
      </c>
      <c r="B39" s="14">
        <f>VLOOKUP(A39,Student_Analysis_Ready!A:D,4,FALSE)</f>
        <v/>
      </c>
      <c r="C39" s="14">
        <f>VLOOKUP(A:A,Student_Analysis_Ready!A:F,6,FALSE)</f>
        <v/>
      </c>
      <c r="D39" s="14">
        <f>VLOOKUP(A:A,Student_Analysis_Ready!A:E,5,FALSE)</f>
        <v/>
      </c>
      <c r="E39" s="14">
        <f>IFERROR(VLOOKUP(A:A,Attendence_Analysis_Ready!A:F,6,FALSE),"0")</f>
        <v/>
      </c>
      <c r="F39" s="14">
        <f>IFERROR(VLOOKUP(A:A,Assessment_Analysis_Ready!A:C,3,FALSE),"Not Available")</f>
        <v/>
      </c>
      <c r="G39" s="16">
        <f>IFERROR(VLOOKUP(A:A,Assessment_Analysis_Ready!A:D,4,FALSE),"Not Available")</f>
        <v/>
      </c>
      <c r="H39" s="14">
        <f>IFERROR(VLOOKUP(A:A,Assessment_Analysis_Ready!A:E,5,FALSE),"Not Available")</f>
        <v/>
      </c>
      <c r="I39" s="14">
        <f>IFERROR(VLOOKUP(A:A,Assessment_Analysis_Ready!A:F,6,FALSE),"Not Available")</f>
        <v/>
      </c>
      <c r="J39" s="14">
        <f>IFERROR(VLOOKUP(A:A,Discipline_Analysis_Ready!A:C,3,FALSE),"Not Available")</f>
        <v/>
      </c>
      <c r="K39" s="14">
        <f>IFERROR(VLOOKUP(A:A,Discipline_Analysis_Ready!A:D,4,FALSE),"Not Available")</f>
        <v/>
      </c>
    </row>
    <row r="40">
      <c r="A40" s="15" t="inlineStr">
        <is>
          <t>S1041</t>
        </is>
      </c>
      <c r="B40" s="14">
        <f>VLOOKUP(A40,Student_Analysis_Ready!A:D,4,FALSE)</f>
        <v/>
      </c>
      <c r="C40" s="14">
        <f>VLOOKUP(A:A,Student_Analysis_Ready!A:F,6,FALSE)</f>
        <v/>
      </c>
      <c r="D40" s="14">
        <f>VLOOKUP(A:A,Student_Analysis_Ready!A:E,5,FALSE)</f>
        <v/>
      </c>
      <c r="E40" s="14">
        <f>IFERROR(VLOOKUP(A:A,Attendence_Analysis_Ready!A:F,6,FALSE),"0")</f>
        <v/>
      </c>
      <c r="F40" s="14">
        <f>IFERROR(VLOOKUP(A:A,Assessment_Analysis_Ready!A:C,3,FALSE),"Not Available")</f>
        <v/>
      </c>
      <c r="G40" s="16">
        <f>IFERROR(VLOOKUP(A:A,Assessment_Analysis_Ready!A:D,4,FALSE),"Not Available")</f>
        <v/>
      </c>
      <c r="H40" s="14">
        <f>IFERROR(VLOOKUP(A:A,Assessment_Analysis_Ready!A:E,5,FALSE),"Not Available")</f>
        <v/>
      </c>
      <c r="I40" s="14">
        <f>IFERROR(VLOOKUP(A:A,Assessment_Analysis_Ready!A:F,6,FALSE),"Not Available")</f>
        <v/>
      </c>
      <c r="J40" s="14">
        <f>IFERROR(VLOOKUP(A:A,Discipline_Analysis_Ready!A:C,3,FALSE),"Not Available")</f>
        <v/>
      </c>
      <c r="K40" s="14">
        <f>IFERROR(VLOOKUP(A:A,Discipline_Analysis_Ready!A:D,4,FALSE),"Not Available")</f>
        <v/>
      </c>
    </row>
    <row r="41">
      <c r="A41" s="15" t="inlineStr">
        <is>
          <t>S1042</t>
        </is>
      </c>
      <c r="B41" s="14">
        <f>VLOOKUP(A41,Student_Analysis_Ready!A:D,4,FALSE)</f>
        <v/>
      </c>
      <c r="C41" s="14">
        <f>VLOOKUP(A:A,Student_Analysis_Ready!A:F,6,FALSE)</f>
        <v/>
      </c>
      <c r="D41" s="14">
        <f>VLOOKUP(A:A,Student_Analysis_Ready!A:E,5,FALSE)</f>
        <v/>
      </c>
      <c r="E41" s="14">
        <f>IFERROR(VLOOKUP(A:A,Attendence_Analysis_Ready!A:F,6,FALSE),"0")</f>
        <v/>
      </c>
      <c r="F41" s="14">
        <f>IFERROR(VLOOKUP(A:A,Assessment_Analysis_Ready!A:C,3,FALSE),"Not Available")</f>
        <v/>
      </c>
      <c r="G41" s="16">
        <f>IFERROR(VLOOKUP(A:A,Assessment_Analysis_Ready!A:D,4,FALSE),"Not Available")</f>
        <v/>
      </c>
      <c r="H41" s="14">
        <f>IFERROR(VLOOKUP(A:A,Assessment_Analysis_Ready!A:E,5,FALSE),"Not Available")</f>
        <v/>
      </c>
      <c r="I41" s="14">
        <f>IFERROR(VLOOKUP(A:A,Assessment_Analysis_Ready!A:F,6,FALSE),"Not Available")</f>
        <v/>
      </c>
      <c r="J41" s="14">
        <f>IFERROR(VLOOKUP(A:A,Discipline_Analysis_Ready!A:C,3,FALSE),"Not Available")</f>
        <v/>
      </c>
      <c r="K41" s="14">
        <f>IFERROR(VLOOKUP(A:A,Discipline_Analysis_Ready!A:D,4,FALSE),"Not Available")</f>
        <v/>
      </c>
    </row>
    <row r="42">
      <c r="A42" s="15" t="inlineStr">
        <is>
          <t>S1043</t>
        </is>
      </c>
      <c r="B42" s="14">
        <f>VLOOKUP(A42,Student_Analysis_Ready!A:D,4,FALSE)</f>
        <v/>
      </c>
      <c r="C42" s="14">
        <f>VLOOKUP(A:A,Student_Analysis_Ready!A:F,6,FALSE)</f>
        <v/>
      </c>
      <c r="D42" s="14">
        <f>VLOOKUP(A:A,Student_Analysis_Ready!A:E,5,FALSE)</f>
        <v/>
      </c>
      <c r="E42" s="14">
        <f>IFERROR(VLOOKUP(A:A,Attendence_Analysis_Ready!A:F,6,FALSE),"0")</f>
        <v/>
      </c>
      <c r="F42" s="14">
        <f>IFERROR(VLOOKUP(A:A,Assessment_Analysis_Ready!A:C,3,FALSE),"Not Available")</f>
        <v/>
      </c>
      <c r="G42" s="16">
        <f>IFERROR(VLOOKUP(A:A,Assessment_Analysis_Ready!A:D,4,FALSE),"Not Available")</f>
        <v/>
      </c>
      <c r="H42" s="14">
        <f>IFERROR(VLOOKUP(A:A,Assessment_Analysis_Ready!A:E,5,FALSE),"Not Available")</f>
        <v/>
      </c>
      <c r="I42" s="14">
        <f>IFERROR(VLOOKUP(A:A,Assessment_Analysis_Ready!A:F,6,FALSE),"Not Available")</f>
        <v/>
      </c>
      <c r="J42" s="14">
        <f>IFERROR(VLOOKUP(A:A,Discipline_Analysis_Ready!A:C,3,FALSE),"Not Available")</f>
        <v/>
      </c>
      <c r="K42" s="14">
        <f>IFERROR(VLOOKUP(A:A,Discipline_Analysis_Ready!A:D,4,FALSE),"Not Available")</f>
        <v/>
      </c>
    </row>
    <row r="43">
      <c r="A43" s="15" t="inlineStr">
        <is>
          <t>S1044</t>
        </is>
      </c>
      <c r="B43" s="14">
        <f>VLOOKUP(A43,Student_Analysis_Ready!A:D,4,FALSE)</f>
        <v/>
      </c>
      <c r="C43" s="14">
        <f>VLOOKUP(A:A,Student_Analysis_Ready!A:F,6,FALSE)</f>
        <v/>
      </c>
      <c r="D43" s="14">
        <f>VLOOKUP(A:A,Student_Analysis_Ready!A:E,5,FALSE)</f>
        <v/>
      </c>
      <c r="E43" s="14">
        <f>IFERROR(VLOOKUP(A:A,Attendence_Analysis_Ready!A:F,6,FALSE),"0")</f>
        <v/>
      </c>
      <c r="F43" s="14">
        <f>IFERROR(VLOOKUP(A:A,Assessment_Analysis_Ready!A:C,3,FALSE),"Not Available")</f>
        <v/>
      </c>
      <c r="G43" s="16">
        <f>IFERROR(VLOOKUP(A:A,Assessment_Analysis_Ready!A:D,4,FALSE),"Not Available")</f>
        <v/>
      </c>
      <c r="H43" s="14">
        <f>IFERROR(VLOOKUP(A:A,Assessment_Analysis_Ready!A:E,5,FALSE),"Not Available")</f>
        <v/>
      </c>
      <c r="I43" s="14">
        <f>IFERROR(VLOOKUP(A:A,Assessment_Analysis_Ready!A:F,6,FALSE),"Not Available")</f>
        <v/>
      </c>
      <c r="J43" s="14">
        <f>IFERROR(VLOOKUP(A:A,Discipline_Analysis_Ready!A:C,3,FALSE),"Not Available")</f>
        <v/>
      </c>
      <c r="K43" s="14">
        <f>IFERROR(VLOOKUP(A:A,Discipline_Analysis_Ready!A:D,4,FALSE),"Not Available")</f>
        <v/>
      </c>
    </row>
    <row r="44">
      <c r="A44" s="15" t="inlineStr">
        <is>
          <t>S1045</t>
        </is>
      </c>
      <c r="B44" s="14">
        <f>VLOOKUP(A44,Student_Analysis_Ready!A:D,4,FALSE)</f>
        <v/>
      </c>
      <c r="C44" s="14">
        <f>VLOOKUP(A:A,Student_Analysis_Ready!A:F,6,FALSE)</f>
        <v/>
      </c>
      <c r="D44" s="14">
        <f>VLOOKUP(A:A,Student_Analysis_Ready!A:E,5,FALSE)</f>
        <v/>
      </c>
      <c r="E44" s="14">
        <f>IFERROR(VLOOKUP(A:A,Attendence_Analysis_Ready!A:F,6,FALSE),"0")</f>
        <v/>
      </c>
      <c r="F44" s="14">
        <f>IFERROR(VLOOKUP(A:A,Assessment_Analysis_Ready!A:C,3,FALSE),"Not Available")</f>
        <v/>
      </c>
      <c r="G44" s="16">
        <f>IFERROR(VLOOKUP(A:A,Assessment_Analysis_Ready!A:D,4,FALSE),"Not Available")</f>
        <v/>
      </c>
      <c r="H44" s="14">
        <f>IFERROR(VLOOKUP(A:A,Assessment_Analysis_Ready!A:E,5,FALSE),"Not Available")</f>
        <v/>
      </c>
      <c r="I44" s="14">
        <f>IFERROR(VLOOKUP(A:A,Assessment_Analysis_Ready!A:F,6,FALSE),"Not Available")</f>
        <v/>
      </c>
      <c r="J44" s="14">
        <f>IFERROR(VLOOKUP(A:A,Discipline_Analysis_Ready!A:C,3,FALSE),"Not Available")</f>
        <v/>
      </c>
      <c r="K44" s="14">
        <f>IFERROR(VLOOKUP(A:A,Discipline_Analysis_Ready!A:D,4,FALSE),"Not Available")</f>
        <v/>
      </c>
    </row>
    <row r="45">
      <c r="A45" s="15" t="inlineStr">
        <is>
          <t>S1046</t>
        </is>
      </c>
      <c r="B45" s="14">
        <f>VLOOKUP(A45,Student_Analysis_Ready!A:D,4,FALSE)</f>
        <v/>
      </c>
      <c r="C45" s="14">
        <f>VLOOKUP(A:A,Student_Analysis_Ready!A:F,6,FALSE)</f>
        <v/>
      </c>
      <c r="D45" s="14">
        <f>VLOOKUP(A:A,Student_Analysis_Ready!A:E,5,FALSE)</f>
        <v/>
      </c>
      <c r="E45" s="14">
        <f>IFERROR(VLOOKUP(A:A,Attendence_Analysis_Ready!A:F,6,FALSE),"0")</f>
        <v/>
      </c>
      <c r="F45" s="14">
        <f>IFERROR(VLOOKUP(A:A,Assessment_Analysis_Ready!A:C,3,FALSE),"Not Available")</f>
        <v/>
      </c>
      <c r="G45" s="16">
        <f>IFERROR(VLOOKUP(A:A,Assessment_Analysis_Ready!A:D,4,FALSE),"Not Available")</f>
        <v/>
      </c>
      <c r="H45" s="14">
        <f>IFERROR(VLOOKUP(A:A,Assessment_Analysis_Ready!A:E,5,FALSE),"Not Available")</f>
        <v/>
      </c>
      <c r="I45" s="14">
        <f>IFERROR(VLOOKUP(A:A,Assessment_Analysis_Ready!A:F,6,FALSE),"Not Available")</f>
        <v/>
      </c>
      <c r="J45" s="14">
        <f>IFERROR(VLOOKUP(A:A,Discipline_Analysis_Ready!A:C,3,FALSE),"Not Available")</f>
        <v/>
      </c>
      <c r="K45" s="14">
        <f>IFERROR(VLOOKUP(A:A,Discipline_Analysis_Ready!A:D,4,FALSE),"Not Available")</f>
        <v/>
      </c>
    </row>
    <row r="46">
      <c r="A46" s="15" t="inlineStr">
        <is>
          <t>S1047</t>
        </is>
      </c>
      <c r="B46" s="14">
        <f>VLOOKUP(A46,Student_Analysis_Ready!A:D,4,FALSE)</f>
        <v/>
      </c>
      <c r="C46" s="14">
        <f>VLOOKUP(A:A,Student_Analysis_Ready!A:F,6,FALSE)</f>
        <v/>
      </c>
      <c r="D46" s="14">
        <f>VLOOKUP(A:A,Student_Analysis_Ready!A:E,5,FALSE)</f>
        <v/>
      </c>
      <c r="E46" s="14">
        <f>IFERROR(VLOOKUP(A:A,Attendence_Analysis_Ready!A:F,6,FALSE),"0")</f>
        <v/>
      </c>
      <c r="F46" s="14">
        <f>IFERROR(VLOOKUP(A:A,Assessment_Analysis_Ready!A:C,3,FALSE),"Not Available")</f>
        <v/>
      </c>
      <c r="G46" s="16">
        <f>IFERROR(VLOOKUP(A:A,Assessment_Analysis_Ready!A:D,4,FALSE),"Not Available")</f>
        <v/>
      </c>
      <c r="H46" s="14">
        <f>IFERROR(VLOOKUP(A:A,Assessment_Analysis_Ready!A:E,5,FALSE),"Not Available")</f>
        <v/>
      </c>
      <c r="I46" s="14">
        <f>IFERROR(VLOOKUP(A:A,Assessment_Analysis_Ready!A:F,6,FALSE),"Not Available")</f>
        <v/>
      </c>
      <c r="J46" s="14">
        <f>IFERROR(VLOOKUP(A:A,Discipline_Analysis_Ready!A:C,3,FALSE),"Not Available")</f>
        <v/>
      </c>
      <c r="K46" s="14">
        <f>IFERROR(VLOOKUP(A:A,Discipline_Analysis_Ready!A:D,4,FALSE),"Not Available")</f>
        <v/>
      </c>
    </row>
    <row r="47">
      <c r="A47" s="15" t="inlineStr">
        <is>
          <t>S1048</t>
        </is>
      </c>
      <c r="B47" s="14">
        <f>VLOOKUP(A47,Student_Analysis_Ready!A:D,4,FALSE)</f>
        <v/>
      </c>
      <c r="C47" s="14">
        <f>VLOOKUP(A:A,Student_Analysis_Ready!A:F,6,FALSE)</f>
        <v/>
      </c>
      <c r="D47" s="14">
        <f>VLOOKUP(A:A,Student_Analysis_Ready!A:E,5,FALSE)</f>
        <v/>
      </c>
      <c r="E47" s="14">
        <f>IFERROR(VLOOKUP(A:A,Attendence_Analysis_Ready!A:F,6,FALSE),"0")</f>
        <v/>
      </c>
      <c r="F47" s="14">
        <f>IFERROR(VLOOKUP(A:A,Assessment_Analysis_Ready!A:C,3,FALSE),"Not Available")</f>
        <v/>
      </c>
      <c r="G47" s="16">
        <f>IFERROR(VLOOKUP(A:A,Assessment_Analysis_Ready!A:D,4,FALSE),"Not Available")</f>
        <v/>
      </c>
      <c r="H47" s="14">
        <f>IFERROR(VLOOKUP(A:A,Assessment_Analysis_Ready!A:E,5,FALSE),"Not Available")</f>
        <v/>
      </c>
      <c r="I47" s="14">
        <f>IFERROR(VLOOKUP(A:A,Assessment_Analysis_Ready!A:F,6,FALSE),"Not Available")</f>
        <v/>
      </c>
      <c r="J47" s="14">
        <f>IFERROR(VLOOKUP(A:A,Discipline_Analysis_Ready!A:C,3,FALSE),"Not Available")</f>
        <v/>
      </c>
      <c r="K47" s="14">
        <f>IFERROR(VLOOKUP(A:A,Discipline_Analysis_Ready!A:D,4,FALSE),"Not Available")</f>
        <v/>
      </c>
    </row>
    <row r="48">
      <c r="A48" s="15" t="inlineStr">
        <is>
          <t>S1049</t>
        </is>
      </c>
      <c r="B48" s="14">
        <f>VLOOKUP(A48,Student_Analysis_Ready!A:D,4,FALSE)</f>
        <v/>
      </c>
      <c r="C48" s="14">
        <f>VLOOKUP(A:A,Student_Analysis_Ready!A:F,6,FALSE)</f>
        <v/>
      </c>
      <c r="D48" s="14">
        <f>VLOOKUP(A:A,Student_Analysis_Ready!A:E,5,FALSE)</f>
        <v/>
      </c>
      <c r="E48" s="14">
        <f>IFERROR(VLOOKUP(A:A,Attendence_Analysis_Ready!A:F,6,FALSE),"0")</f>
        <v/>
      </c>
      <c r="F48" s="14">
        <f>IFERROR(VLOOKUP(A:A,Assessment_Analysis_Ready!A:C,3,FALSE),"Not Available")</f>
        <v/>
      </c>
      <c r="G48" s="16">
        <f>IFERROR(VLOOKUP(A:A,Assessment_Analysis_Ready!A:D,4,FALSE),"Not Available")</f>
        <v/>
      </c>
      <c r="H48" s="14">
        <f>IFERROR(VLOOKUP(A:A,Assessment_Analysis_Ready!A:E,5,FALSE),"Not Available")</f>
        <v/>
      </c>
      <c r="I48" s="14">
        <f>IFERROR(VLOOKUP(A:A,Assessment_Analysis_Ready!A:F,6,FALSE),"Not Available")</f>
        <v/>
      </c>
      <c r="J48" s="14">
        <f>IFERROR(VLOOKUP(A:A,Discipline_Analysis_Ready!A:C,3,FALSE),"Not Available")</f>
        <v/>
      </c>
      <c r="K48" s="14">
        <f>IFERROR(VLOOKUP(A:A,Discipline_Analysis_Ready!A:D,4,FALSE),"Not Available")</f>
        <v/>
      </c>
    </row>
    <row r="49">
      <c r="A49" s="15" t="inlineStr">
        <is>
          <t>S1050</t>
        </is>
      </c>
      <c r="B49" s="14">
        <f>VLOOKUP(A49,Student_Analysis_Ready!A:D,4,FALSE)</f>
        <v/>
      </c>
      <c r="C49" s="14">
        <f>VLOOKUP(A:A,Student_Analysis_Ready!A:F,6,FALSE)</f>
        <v/>
      </c>
      <c r="D49" s="14">
        <f>VLOOKUP(A:A,Student_Analysis_Ready!A:E,5,FALSE)</f>
        <v/>
      </c>
      <c r="E49" s="14">
        <f>IFERROR(VLOOKUP(A:A,Attendence_Analysis_Ready!A:F,6,FALSE),"0")</f>
        <v/>
      </c>
      <c r="F49" s="14">
        <f>IFERROR(VLOOKUP(A:A,Assessment_Analysis_Ready!A:C,3,FALSE),"Not Available")</f>
        <v/>
      </c>
      <c r="G49" s="16">
        <f>IFERROR(VLOOKUP(A:A,Assessment_Analysis_Ready!A:D,4,FALSE),"Not Available")</f>
        <v/>
      </c>
      <c r="H49" s="14">
        <f>IFERROR(VLOOKUP(A:A,Assessment_Analysis_Ready!A:E,5,FALSE),"Not Available")</f>
        <v/>
      </c>
      <c r="I49" s="14">
        <f>IFERROR(VLOOKUP(A:A,Assessment_Analysis_Ready!A:F,6,FALSE),"Not Available")</f>
        <v/>
      </c>
      <c r="J49" s="14">
        <f>IFERROR(VLOOKUP(A:A,Discipline_Analysis_Ready!A:C,3,FALSE),"Not Available")</f>
        <v/>
      </c>
      <c r="K49" s="14">
        <f>IFERROR(VLOOKUP(A:A,Discipline_Analysis_Ready!A:D,4,FALSE),"Not Available")</f>
        <v/>
      </c>
    </row>
    <row r="50">
      <c r="A50" s="15" t="inlineStr">
        <is>
          <t>S1051</t>
        </is>
      </c>
      <c r="B50" s="14">
        <f>VLOOKUP(A50,Student_Analysis_Ready!A:D,4,FALSE)</f>
        <v/>
      </c>
      <c r="C50" s="14">
        <f>VLOOKUP(A:A,Student_Analysis_Ready!A:F,6,FALSE)</f>
        <v/>
      </c>
      <c r="D50" s="14">
        <f>VLOOKUP(A:A,Student_Analysis_Ready!A:E,5,FALSE)</f>
        <v/>
      </c>
      <c r="E50" s="14">
        <f>IFERROR(VLOOKUP(A:A,Attendence_Analysis_Ready!A:F,6,FALSE),"0")</f>
        <v/>
      </c>
      <c r="F50" s="14">
        <f>IFERROR(VLOOKUP(A:A,Assessment_Analysis_Ready!A:C,3,FALSE),"Not Available")</f>
        <v/>
      </c>
      <c r="G50" s="16">
        <f>IFERROR(VLOOKUP(A:A,Assessment_Analysis_Ready!A:D,4,FALSE),"Not Available")</f>
        <v/>
      </c>
      <c r="H50" s="14">
        <f>IFERROR(VLOOKUP(A:A,Assessment_Analysis_Ready!A:E,5,FALSE),"Not Available")</f>
        <v/>
      </c>
      <c r="I50" s="14">
        <f>IFERROR(VLOOKUP(A:A,Assessment_Analysis_Ready!A:F,6,FALSE),"Not Available")</f>
        <v/>
      </c>
      <c r="J50" s="14">
        <f>IFERROR(VLOOKUP(A:A,Discipline_Analysis_Ready!A:C,3,FALSE),"Not Available")</f>
        <v/>
      </c>
      <c r="K50" s="14">
        <f>IFERROR(VLOOKUP(A:A,Discipline_Analysis_Ready!A:D,4,FALSE),"Not Available")</f>
        <v/>
      </c>
    </row>
    <row r="51">
      <c r="A51" s="15" t="inlineStr">
        <is>
          <t>S1052</t>
        </is>
      </c>
      <c r="B51" s="14">
        <f>VLOOKUP(A51,Student_Analysis_Ready!A:D,4,FALSE)</f>
        <v/>
      </c>
      <c r="C51" s="14">
        <f>VLOOKUP(A:A,Student_Analysis_Ready!A:F,6,FALSE)</f>
        <v/>
      </c>
      <c r="D51" s="14">
        <f>VLOOKUP(A:A,Student_Analysis_Ready!A:E,5,FALSE)</f>
        <v/>
      </c>
      <c r="E51" s="14">
        <f>IFERROR(VLOOKUP(A:A,Attendence_Analysis_Ready!A:F,6,FALSE),"0")</f>
        <v/>
      </c>
      <c r="F51" s="14">
        <f>IFERROR(VLOOKUP(A:A,Assessment_Analysis_Ready!A:C,3,FALSE),"Not Available")</f>
        <v/>
      </c>
      <c r="G51" s="16">
        <f>IFERROR(VLOOKUP(A:A,Assessment_Analysis_Ready!A:D,4,FALSE),"Not Available")</f>
        <v/>
      </c>
      <c r="H51" s="14">
        <f>IFERROR(VLOOKUP(A:A,Assessment_Analysis_Ready!A:E,5,FALSE),"Not Available")</f>
        <v/>
      </c>
      <c r="I51" s="14">
        <f>IFERROR(VLOOKUP(A:A,Assessment_Analysis_Ready!A:F,6,FALSE),"Not Available")</f>
        <v/>
      </c>
      <c r="J51" s="14">
        <f>IFERROR(VLOOKUP(A:A,Discipline_Analysis_Ready!A:C,3,FALSE),"Not Available")</f>
        <v/>
      </c>
      <c r="K51" s="14">
        <f>IFERROR(VLOOKUP(A:A,Discipline_Analysis_Ready!A:D,4,FALSE),"Not Available")</f>
        <v/>
      </c>
    </row>
    <row r="52">
      <c r="A52" s="15" t="inlineStr">
        <is>
          <t>S1053</t>
        </is>
      </c>
      <c r="B52" s="14">
        <f>VLOOKUP(A52,Student_Analysis_Ready!A:D,4,FALSE)</f>
        <v/>
      </c>
      <c r="C52" s="14">
        <f>VLOOKUP(A:A,Student_Analysis_Ready!A:F,6,FALSE)</f>
        <v/>
      </c>
      <c r="D52" s="14">
        <f>VLOOKUP(A:A,Student_Analysis_Ready!A:E,5,FALSE)</f>
        <v/>
      </c>
      <c r="E52" s="14">
        <f>IFERROR(VLOOKUP(A:A,Attendence_Analysis_Ready!A:F,6,FALSE),"0")</f>
        <v/>
      </c>
      <c r="F52" s="14">
        <f>IFERROR(VLOOKUP(A:A,Assessment_Analysis_Ready!A:C,3,FALSE),"Not Available")</f>
        <v/>
      </c>
      <c r="G52" s="16">
        <f>IFERROR(VLOOKUP(A:A,Assessment_Analysis_Ready!A:D,4,FALSE),"Not Available")</f>
        <v/>
      </c>
      <c r="H52" s="14">
        <f>IFERROR(VLOOKUP(A:A,Assessment_Analysis_Ready!A:E,5,FALSE),"Not Available")</f>
        <v/>
      </c>
      <c r="I52" s="14">
        <f>IFERROR(VLOOKUP(A:A,Assessment_Analysis_Ready!A:F,6,FALSE),"Not Available")</f>
        <v/>
      </c>
      <c r="J52" s="14">
        <f>IFERROR(VLOOKUP(A:A,Discipline_Analysis_Ready!A:C,3,FALSE),"Not Available")</f>
        <v/>
      </c>
      <c r="K52" s="14">
        <f>IFERROR(VLOOKUP(A:A,Discipline_Analysis_Ready!A:D,4,FALSE),"Not Available")</f>
        <v/>
      </c>
    </row>
    <row r="53">
      <c r="A53" s="15" t="inlineStr">
        <is>
          <t>S1054</t>
        </is>
      </c>
      <c r="B53" s="14">
        <f>VLOOKUP(A53,Student_Analysis_Ready!A:D,4,FALSE)</f>
        <v/>
      </c>
      <c r="C53" s="14">
        <f>VLOOKUP(A:A,Student_Analysis_Ready!A:F,6,FALSE)</f>
        <v/>
      </c>
      <c r="D53" s="14">
        <f>VLOOKUP(A:A,Student_Analysis_Ready!A:E,5,FALSE)</f>
        <v/>
      </c>
      <c r="E53" s="14">
        <f>IFERROR(VLOOKUP(A:A,Attendence_Analysis_Ready!A:F,6,FALSE),"0")</f>
        <v/>
      </c>
      <c r="F53" s="14">
        <f>IFERROR(VLOOKUP(A:A,Assessment_Analysis_Ready!A:C,3,FALSE),"Not Available")</f>
        <v/>
      </c>
      <c r="G53" s="16">
        <f>IFERROR(VLOOKUP(A:A,Assessment_Analysis_Ready!A:D,4,FALSE),"Not Available")</f>
        <v/>
      </c>
      <c r="H53" s="14">
        <f>IFERROR(VLOOKUP(A:A,Assessment_Analysis_Ready!A:E,5,FALSE),"Not Available")</f>
        <v/>
      </c>
      <c r="I53" s="14">
        <f>IFERROR(VLOOKUP(A:A,Assessment_Analysis_Ready!A:F,6,FALSE),"Not Available")</f>
        <v/>
      </c>
      <c r="J53" s="14">
        <f>IFERROR(VLOOKUP(A:A,Discipline_Analysis_Ready!A:C,3,FALSE),"Not Available")</f>
        <v/>
      </c>
      <c r="K53" s="14">
        <f>IFERROR(VLOOKUP(A:A,Discipline_Analysis_Ready!A:D,4,FALSE),"Not Available")</f>
        <v/>
      </c>
    </row>
    <row r="54">
      <c r="A54" s="15" t="inlineStr">
        <is>
          <t>S1055</t>
        </is>
      </c>
      <c r="B54" s="14">
        <f>VLOOKUP(A54,Student_Analysis_Ready!A:D,4,FALSE)</f>
        <v/>
      </c>
      <c r="C54" s="14">
        <f>VLOOKUP(A:A,Student_Analysis_Ready!A:F,6,FALSE)</f>
        <v/>
      </c>
      <c r="D54" s="14">
        <f>VLOOKUP(A:A,Student_Analysis_Ready!A:E,5,FALSE)</f>
        <v/>
      </c>
      <c r="E54" s="14">
        <f>IFERROR(VLOOKUP(A:A,Attendence_Analysis_Ready!A:F,6,FALSE),"0")</f>
        <v/>
      </c>
      <c r="F54" s="14">
        <f>IFERROR(VLOOKUP(A:A,Assessment_Analysis_Ready!A:C,3,FALSE),"Not Available")</f>
        <v/>
      </c>
      <c r="G54" s="16">
        <f>IFERROR(VLOOKUP(A:A,Assessment_Analysis_Ready!A:D,4,FALSE),"Not Available")</f>
        <v/>
      </c>
      <c r="H54" s="14">
        <f>IFERROR(VLOOKUP(A:A,Assessment_Analysis_Ready!A:E,5,FALSE),"Not Available")</f>
        <v/>
      </c>
      <c r="I54" s="14">
        <f>IFERROR(VLOOKUP(A:A,Assessment_Analysis_Ready!A:F,6,FALSE),"Not Available")</f>
        <v/>
      </c>
      <c r="J54" s="14">
        <f>IFERROR(VLOOKUP(A:A,Discipline_Analysis_Ready!A:C,3,FALSE),"Not Available")</f>
        <v/>
      </c>
      <c r="K54" s="14">
        <f>IFERROR(VLOOKUP(A:A,Discipline_Analysis_Ready!A:D,4,FALSE),"Not Available")</f>
        <v/>
      </c>
    </row>
    <row r="55">
      <c r="A55" s="15" t="inlineStr">
        <is>
          <t>S1056</t>
        </is>
      </c>
      <c r="B55" s="14">
        <f>VLOOKUP(A55,Student_Analysis_Ready!A:D,4,FALSE)</f>
        <v/>
      </c>
      <c r="C55" s="14">
        <f>VLOOKUP(A:A,Student_Analysis_Ready!A:F,6,FALSE)</f>
        <v/>
      </c>
      <c r="D55" s="14">
        <f>VLOOKUP(A:A,Student_Analysis_Ready!A:E,5,FALSE)</f>
        <v/>
      </c>
      <c r="E55" s="14">
        <f>IFERROR(VLOOKUP(A:A,Attendence_Analysis_Ready!A:F,6,FALSE),"0")</f>
        <v/>
      </c>
      <c r="F55" s="14">
        <f>IFERROR(VLOOKUP(A:A,Assessment_Analysis_Ready!A:C,3,FALSE),"Not Available")</f>
        <v/>
      </c>
      <c r="G55" s="16">
        <f>IFERROR(VLOOKUP(A:A,Assessment_Analysis_Ready!A:D,4,FALSE),"Not Available")</f>
        <v/>
      </c>
      <c r="H55" s="14">
        <f>IFERROR(VLOOKUP(A:A,Assessment_Analysis_Ready!A:E,5,FALSE),"Not Available")</f>
        <v/>
      </c>
      <c r="I55" s="14">
        <f>IFERROR(VLOOKUP(A:A,Assessment_Analysis_Ready!A:F,6,FALSE),"Not Available")</f>
        <v/>
      </c>
      <c r="J55" s="14">
        <f>IFERROR(VLOOKUP(A:A,Discipline_Analysis_Ready!A:C,3,FALSE),"Not Available")</f>
        <v/>
      </c>
      <c r="K55" s="14">
        <f>IFERROR(VLOOKUP(A:A,Discipline_Analysis_Ready!A:D,4,FALSE),"Not Available")</f>
        <v/>
      </c>
    </row>
    <row r="56">
      <c r="A56" s="15" t="inlineStr">
        <is>
          <t>S1057</t>
        </is>
      </c>
      <c r="B56" s="14">
        <f>VLOOKUP(A56,Student_Analysis_Ready!A:D,4,FALSE)</f>
        <v/>
      </c>
      <c r="C56" s="14">
        <f>VLOOKUP(A:A,Student_Analysis_Ready!A:F,6,FALSE)</f>
        <v/>
      </c>
      <c r="D56" s="14">
        <f>VLOOKUP(A:A,Student_Analysis_Ready!A:E,5,FALSE)</f>
        <v/>
      </c>
      <c r="E56" s="14">
        <f>IFERROR(VLOOKUP(A:A,Attendence_Analysis_Ready!A:F,6,FALSE),"0")</f>
        <v/>
      </c>
      <c r="F56" s="14">
        <f>IFERROR(VLOOKUP(A:A,Assessment_Analysis_Ready!A:C,3,FALSE),"Not Available")</f>
        <v/>
      </c>
      <c r="G56" s="16">
        <f>IFERROR(VLOOKUP(A:A,Assessment_Analysis_Ready!A:D,4,FALSE),"Not Available")</f>
        <v/>
      </c>
      <c r="H56" s="14">
        <f>IFERROR(VLOOKUP(A:A,Assessment_Analysis_Ready!A:E,5,FALSE),"Not Available")</f>
        <v/>
      </c>
      <c r="I56" s="14">
        <f>IFERROR(VLOOKUP(A:A,Assessment_Analysis_Ready!A:F,6,FALSE),"Not Available")</f>
        <v/>
      </c>
      <c r="J56" s="14">
        <f>IFERROR(VLOOKUP(A:A,Discipline_Analysis_Ready!A:C,3,FALSE),"Not Available")</f>
        <v/>
      </c>
      <c r="K56" s="14">
        <f>IFERROR(VLOOKUP(A:A,Discipline_Analysis_Ready!A:D,4,FALSE),"Not Available")</f>
        <v/>
      </c>
    </row>
    <row r="57">
      <c r="A57" s="15" t="inlineStr">
        <is>
          <t>S1058</t>
        </is>
      </c>
      <c r="B57" s="14">
        <f>VLOOKUP(A57,Student_Analysis_Ready!A:D,4,FALSE)</f>
        <v/>
      </c>
      <c r="C57" s="14">
        <f>VLOOKUP(A:A,Student_Analysis_Ready!A:F,6,FALSE)</f>
        <v/>
      </c>
      <c r="D57" s="14">
        <f>VLOOKUP(A:A,Student_Analysis_Ready!A:E,5,FALSE)</f>
        <v/>
      </c>
      <c r="E57" s="14">
        <f>IFERROR(VLOOKUP(A:A,Attendence_Analysis_Ready!A:F,6,FALSE),"0")</f>
        <v/>
      </c>
      <c r="F57" s="14">
        <f>IFERROR(VLOOKUP(A:A,Assessment_Analysis_Ready!A:C,3,FALSE),"Not Available")</f>
        <v/>
      </c>
      <c r="G57" s="16">
        <f>IFERROR(VLOOKUP(A:A,Assessment_Analysis_Ready!A:D,4,FALSE),"Not Available")</f>
        <v/>
      </c>
      <c r="H57" s="14">
        <f>IFERROR(VLOOKUP(A:A,Assessment_Analysis_Ready!A:E,5,FALSE),"Not Available")</f>
        <v/>
      </c>
      <c r="I57" s="14">
        <f>IFERROR(VLOOKUP(A:A,Assessment_Analysis_Ready!A:F,6,FALSE),"Not Available")</f>
        <v/>
      </c>
      <c r="J57" s="14">
        <f>IFERROR(VLOOKUP(A:A,Discipline_Analysis_Ready!A:C,3,FALSE),"Not Available")</f>
        <v/>
      </c>
      <c r="K57" s="14">
        <f>IFERROR(VLOOKUP(A:A,Discipline_Analysis_Ready!A:D,4,FALSE),"Not Available")</f>
        <v/>
      </c>
    </row>
    <row r="58">
      <c r="A58" s="15" t="inlineStr">
        <is>
          <t>S1059</t>
        </is>
      </c>
      <c r="B58" s="14">
        <f>VLOOKUP(A58,Student_Analysis_Ready!A:D,4,FALSE)</f>
        <v/>
      </c>
      <c r="C58" s="14">
        <f>VLOOKUP(A:A,Student_Analysis_Ready!A:F,6,FALSE)</f>
        <v/>
      </c>
      <c r="D58" s="14">
        <f>VLOOKUP(A:A,Student_Analysis_Ready!A:E,5,FALSE)</f>
        <v/>
      </c>
      <c r="E58" s="14">
        <f>IFERROR(VLOOKUP(A:A,Attendence_Analysis_Ready!A:F,6,FALSE),"0")</f>
        <v/>
      </c>
      <c r="F58" s="14">
        <f>IFERROR(VLOOKUP(A:A,Assessment_Analysis_Ready!A:C,3,FALSE),"Not Available")</f>
        <v/>
      </c>
      <c r="G58" s="16">
        <f>IFERROR(VLOOKUP(A:A,Assessment_Analysis_Ready!A:D,4,FALSE),"Not Available")</f>
        <v/>
      </c>
      <c r="H58" s="14">
        <f>IFERROR(VLOOKUP(A:A,Assessment_Analysis_Ready!A:E,5,FALSE),"Not Available")</f>
        <v/>
      </c>
      <c r="I58" s="14">
        <f>IFERROR(VLOOKUP(A:A,Assessment_Analysis_Ready!A:F,6,FALSE),"Not Available")</f>
        <v/>
      </c>
      <c r="J58" s="14">
        <f>IFERROR(VLOOKUP(A:A,Discipline_Analysis_Ready!A:C,3,FALSE),"Not Available")</f>
        <v/>
      </c>
      <c r="K58" s="14">
        <f>IFERROR(VLOOKUP(A:A,Discipline_Analysis_Ready!A:D,4,FALSE),"Not Available")</f>
        <v/>
      </c>
    </row>
    <row r="59">
      <c r="A59" s="15" t="inlineStr">
        <is>
          <t>S1060</t>
        </is>
      </c>
      <c r="B59" s="14">
        <f>VLOOKUP(A59,Student_Analysis_Ready!A:D,4,FALSE)</f>
        <v/>
      </c>
      <c r="C59" s="14">
        <f>VLOOKUP(A:A,Student_Analysis_Ready!A:F,6,FALSE)</f>
        <v/>
      </c>
      <c r="D59" s="14">
        <f>VLOOKUP(A:A,Student_Analysis_Ready!A:E,5,FALSE)</f>
        <v/>
      </c>
      <c r="E59" s="14">
        <f>IFERROR(VLOOKUP(A:A,Attendence_Analysis_Ready!A:F,6,FALSE),"0")</f>
        <v/>
      </c>
      <c r="F59" s="14">
        <f>IFERROR(VLOOKUP(A:A,Assessment_Analysis_Ready!A:C,3,FALSE),"Not Available")</f>
        <v/>
      </c>
      <c r="G59" s="16">
        <f>IFERROR(VLOOKUP(A:A,Assessment_Analysis_Ready!A:D,4,FALSE),"Not Available")</f>
        <v/>
      </c>
      <c r="H59" s="14">
        <f>IFERROR(VLOOKUP(A:A,Assessment_Analysis_Ready!A:E,5,FALSE),"Not Available")</f>
        <v/>
      </c>
      <c r="I59" s="14">
        <f>IFERROR(VLOOKUP(A:A,Assessment_Analysis_Ready!A:F,6,FALSE),"Not Available")</f>
        <v/>
      </c>
      <c r="J59" s="14">
        <f>IFERROR(VLOOKUP(A:A,Discipline_Analysis_Ready!A:C,3,FALSE),"Not Available")</f>
        <v/>
      </c>
      <c r="K59" s="14">
        <f>IFERROR(VLOOKUP(A:A,Discipline_Analysis_Ready!A:D,4,FALSE),"Not Available")</f>
        <v/>
      </c>
    </row>
    <row r="60">
      <c r="A60" s="15" t="inlineStr">
        <is>
          <t>S1061</t>
        </is>
      </c>
      <c r="B60" s="14">
        <f>VLOOKUP(A60,Student_Analysis_Ready!A:D,4,FALSE)</f>
        <v/>
      </c>
      <c r="C60" s="14">
        <f>VLOOKUP(A:A,Student_Analysis_Ready!A:F,6,FALSE)</f>
        <v/>
      </c>
      <c r="D60" s="14">
        <f>VLOOKUP(A:A,Student_Analysis_Ready!A:E,5,FALSE)</f>
        <v/>
      </c>
      <c r="E60" s="14">
        <f>IFERROR(VLOOKUP(A:A,Attendence_Analysis_Ready!A:F,6,FALSE),"0")</f>
        <v/>
      </c>
      <c r="F60" s="14">
        <f>IFERROR(VLOOKUP(A:A,Assessment_Analysis_Ready!A:C,3,FALSE),"Not Available")</f>
        <v/>
      </c>
      <c r="G60" s="16">
        <f>IFERROR(VLOOKUP(A:A,Assessment_Analysis_Ready!A:D,4,FALSE),"Not Available")</f>
        <v/>
      </c>
      <c r="H60" s="14">
        <f>IFERROR(VLOOKUP(A:A,Assessment_Analysis_Ready!A:E,5,FALSE),"Not Available")</f>
        <v/>
      </c>
      <c r="I60" s="14">
        <f>IFERROR(VLOOKUP(A:A,Assessment_Analysis_Ready!A:F,6,FALSE),"Not Available")</f>
        <v/>
      </c>
      <c r="J60" s="14">
        <f>IFERROR(VLOOKUP(A:A,Discipline_Analysis_Ready!A:C,3,FALSE),"Not Available")</f>
        <v/>
      </c>
      <c r="K60" s="14">
        <f>IFERROR(VLOOKUP(A:A,Discipline_Analysis_Ready!A:D,4,FALSE),"Not Available")</f>
        <v/>
      </c>
    </row>
    <row r="61">
      <c r="A61" s="15" t="inlineStr">
        <is>
          <t>S1062</t>
        </is>
      </c>
      <c r="B61" s="14">
        <f>VLOOKUP(A61,Student_Analysis_Ready!A:D,4,FALSE)</f>
        <v/>
      </c>
      <c r="C61" s="14">
        <f>VLOOKUP(A:A,Student_Analysis_Ready!A:F,6,FALSE)</f>
        <v/>
      </c>
      <c r="D61" s="14">
        <f>VLOOKUP(A:A,Student_Analysis_Ready!A:E,5,FALSE)</f>
        <v/>
      </c>
      <c r="E61" s="14">
        <f>IFERROR(VLOOKUP(A:A,Attendence_Analysis_Ready!A:F,6,FALSE),"0")</f>
        <v/>
      </c>
      <c r="F61" s="14">
        <f>IFERROR(VLOOKUP(A:A,Assessment_Analysis_Ready!A:C,3,FALSE),"Not Available")</f>
        <v/>
      </c>
      <c r="G61" s="16">
        <f>IFERROR(VLOOKUP(A:A,Assessment_Analysis_Ready!A:D,4,FALSE),"Not Available")</f>
        <v/>
      </c>
      <c r="H61" s="14">
        <f>IFERROR(VLOOKUP(A:A,Assessment_Analysis_Ready!A:E,5,FALSE),"Not Available")</f>
        <v/>
      </c>
      <c r="I61" s="14">
        <f>IFERROR(VLOOKUP(A:A,Assessment_Analysis_Ready!A:F,6,FALSE),"Not Available")</f>
        <v/>
      </c>
      <c r="J61" s="14">
        <f>IFERROR(VLOOKUP(A:A,Discipline_Analysis_Ready!A:C,3,FALSE),"Not Available")</f>
        <v/>
      </c>
      <c r="K61" s="14">
        <f>IFERROR(VLOOKUP(A:A,Discipline_Analysis_Ready!A:D,4,FALSE),"Not Available")</f>
        <v/>
      </c>
    </row>
    <row r="62">
      <c r="A62" s="15" t="inlineStr">
        <is>
          <t>S1063</t>
        </is>
      </c>
      <c r="B62" s="14">
        <f>VLOOKUP(A62,Student_Analysis_Ready!A:D,4,FALSE)</f>
        <v/>
      </c>
      <c r="C62" s="14">
        <f>VLOOKUP(A:A,Student_Analysis_Ready!A:F,6,FALSE)</f>
        <v/>
      </c>
      <c r="D62" s="14">
        <f>VLOOKUP(A:A,Student_Analysis_Ready!A:E,5,FALSE)</f>
        <v/>
      </c>
      <c r="E62" s="14">
        <f>IFERROR(VLOOKUP(A:A,Attendence_Analysis_Ready!A:F,6,FALSE),"0")</f>
        <v/>
      </c>
      <c r="F62" s="14">
        <f>IFERROR(VLOOKUP(A:A,Assessment_Analysis_Ready!A:C,3,FALSE),"Not Available")</f>
        <v/>
      </c>
      <c r="G62" s="16">
        <f>IFERROR(VLOOKUP(A:A,Assessment_Analysis_Ready!A:D,4,FALSE),"Not Available")</f>
        <v/>
      </c>
      <c r="H62" s="14">
        <f>IFERROR(VLOOKUP(A:A,Assessment_Analysis_Ready!A:E,5,FALSE),"Not Available")</f>
        <v/>
      </c>
      <c r="I62" s="14">
        <f>IFERROR(VLOOKUP(A:A,Assessment_Analysis_Ready!A:F,6,FALSE),"Not Available")</f>
        <v/>
      </c>
      <c r="J62" s="14">
        <f>IFERROR(VLOOKUP(A:A,Discipline_Analysis_Ready!A:C,3,FALSE),"Not Available")</f>
        <v/>
      </c>
      <c r="K62" s="14">
        <f>IFERROR(VLOOKUP(A:A,Discipline_Analysis_Ready!A:D,4,FALSE),"Not Available")</f>
        <v/>
      </c>
    </row>
    <row r="63">
      <c r="A63" s="15" t="inlineStr">
        <is>
          <t>S1064</t>
        </is>
      </c>
      <c r="B63" s="14">
        <f>VLOOKUP(A63,Student_Analysis_Ready!A:D,4,FALSE)</f>
        <v/>
      </c>
      <c r="C63" s="14">
        <f>VLOOKUP(A:A,Student_Analysis_Ready!A:F,6,FALSE)</f>
        <v/>
      </c>
      <c r="D63" s="14">
        <f>VLOOKUP(A:A,Student_Analysis_Ready!A:E,5,FALSE)</f>
        <v/>
      </c>
      <c r="E63" s="14">
        <f>IFERROR(VLOOKUP(A:A,Attendence_Analysis_Ready!A:F,6,FALSE),"0")</f>
        <v/>
      </c>
      <c r="F63" s="14">
        <f>IFERROR(VLOOKUP(A:A,Assessment_Analysis_Ready!A:C,3,FALSE),"Not Available")</f>
        <v/>
      </c>
      <c r="G63" s="16">
        <f>IFERROR(VLOOKUP(A:A,Assessment_Analysis_Ready!A:D,4,FALSE),"Not Available")</f>
        <v/>
      </c>
      <c r="H63" s="14">
        <f>IFERROR(VLOOKUP(A:A,Assessment_Analysis_Ready!A:E,5,FALSE),"Not Available")</f>
        <v/>
      </c>
      <c r="I63" s="14">
        <f>IFERROR(VLOOKUP(A:A,Assessment_Analysis_Ready!A:F,6,FALSE),"Not Available")</f>
        <v/>
      </c>
      <c r="J63" s="14">
        <f>IFERROR(VLOOKUP(A:A,Discipline_Analysis_Ready!A:C,3,FALSE),"Not Available")</f>
        <v/>
      </c>
      <c r="K63" s="14">
        <f>IFERROR(VLOOKUP(A:A,Discipline_Analysis_Ready!A:D,4,FALSE),"Not Available")</f>
        <v/>
      </c>
    </row>
    <row r="64">
      <c r="A64" s="15" t="inlineStr">
        <is>
          <t>S1065</t>
        </is>
      </c>
      <c r="B64" s="14">
        <f>VLOOKUP(A64,Student_Analysis_Ready!A:D,4,FALSE)</f>
        <v/>
      </c>
      <c r="C64" s="14">
        <f>VLOOKUP(A:A,Student_Analysis_Ready!A:F,6,FALSE)</f>
        <v/>
      </c>
      <c r="D64" s="14">
        <f>VLOOKUP(A:A,Student_Analysis_Ready!A:E,5,FALSE)</f>
        <v/>
      </c>
      <c r="E64" s="14">
        <f>IFERROR(VLOOKUP(A:A,Attendence_Analysis_Ready!A:F,6,FALSE),"0")</f>
        <v/>
      </c>
      <c r="F64" s="14">
        <f>IFERROR(VLOOKUP(A:A,Assessment_Analysis_Ready!A:C,3,FALSE),"Not Available")</f>
        <v/>
      </c>
      <c r="G64" s="16">
        <f>IFERROR(VLOOKUP(A:A,Assessment_Analysis_Ready!A:D,4,FALSE),"Not Available")</f>
        <v/>
      </c>
      <c r="H64" s="14">
        <f>IFERROR(VLOOKUP(A:A,Assessment_Analysis_Ready!A:E,5,FALSE),"Not Available")</f>
        <v/>
      </c>
      <c r="I64" s="14">
        <f>IFERROR(VLOOKUP(A:A,Assessment_Analysis_Ready!A:F,6,FALSE),"Not Available")</f>
        <v/>
      </c>
      <c r="J64" s="14">
        <f>IFERROR(VLOOKUP(A:A,Discipline_Analysis_Ready!A:C,3,FALSE),"Not Available")</f>
        <v/>
      </c>
      <c r="K64" s="14">
        <f>IFERROR(VLOOKUP(A:A,Discipline_Analysis_Ready!A:D,4,FALSE),"Not Available")</f>
        <v/>
      </c>
    </row>
    <row r="65">
      <c r="A65" s="15" t="inlineStr">
        <is>
          <t>S1066</t>
        </is>
      </c>
      <c r="B65" s="14">
        <f>VLOOKUP(A65,Student_Analysis_Ready!A:D,4,FALSE)</f>
        <v/>
      </c>
      <c r="C65" s="14">
        <f>VLOOKUP(A:A,Student_Analysis_Ready!A:F,6,FALSE)</f>
        <v/>
      </c>
      <c r="D65" s="14">
        <f>VLOOKUP(A:A,Student_Analysis_Ready!A:E,5,FALSE)</f>
        <v/>
      </c>
      <c r="E65" s="14">
        <f>IFERROR(VLOOKUP(A:A,Attendence_Analysis_Ready!A:F,6,FALSE),"0")</f>
        <v/>
      </c>
      <c r="F65" s="14">
        <f>IFERROR(VLOOKUP(A:A,Assessment_Analysis_Ready!A:C,3,FALSE),"Not Available")</f>
        <v/>
      </c>
      <c r="G65" s="16">
        <f>IFERROR(VLOOKUP(A:A,Assessment_Analysis_Ready!A:D,4,FALSE),"Not Available")</f>
        <v/>
      </c>
      <c r="H65" s="14">
        <f>IFERROR(VLOOKUP(A:A,Assessment_Analysis_Ready!A:E,5,FALSE),"Not Available")</f>
        <v/>
      </c>
      <c r="I65" s="14">
        <f>IFERROR(VLOOKUP(A:A,Assessment_Analysis_Ready!A:F,6,FALSE),"Not Available")</f>
        <v/>
      </c>
      <c r="J65" s="14">
        <f>IFERROR(VLOOKUP(A:A,Discipline_Analysis_Ready!A:C,3,FALSE),"Not Available")</f>
        <v/>
      </c>
      <c r="K65" s="14">
        <f>IFERROR(VLOOKUP(A:A,Discipline_Analysis_Ready!A:D,4,FALSE),"Not Available")</f>
        <v/>
      </c>
    </row>
    <row r="66">
      <c r="A66" s="15" t="inlineStr">
        <is>
          <t>S1067</t>
        </is>
      </c>
      <c r="B66" s="14">
        <f>VLOOKUP(A66,Student_Analysis_Ready!A:D,4,FALSE)</f>
        <v/>
      </c>
      <c r="C66" s="14">
        <f>VLOOKUP(A:A,Student_Analysis_Ready!A:F,6,FALSE)</f>
        <v/>
      </c>
      <c r="D66" s="14">
        <f>VLOOKUP(A:A,Student_Analysis_Ready!A:E,5,FALSE)</f>
        <v/>
      </c>
      <c r="E66" s="14">
        <f>IFERROR(VLOOKUP(A:A,Attendence_Analysis_Ready!A:F,6,FALSE),"0")</f>
        <v/>
      </c>
      <c r="F66" s="14">
        <f>IFERROR(VLOOKUP(A:A,Assessment_Analysis_Ready!A:C,3,FALSE),"Not Available")</f>
        <v/>
      </c>
      <c r="G66" s="16">
        <f>IFERROR(VLOOKUP(A:A,Assessment_Analysis_Ready!A:D,4,FALSE),"Not Available")</f>
        <v/>
      </c>
      <c r="H66" s="14">
        <f>IFERROR(VLOOKUP(A:A,Assessment_Analysis_Ready!A:E,5,FALSE),"Not Available")</f>
        <v/>
      </c>
      <c r="I66" s="14">
        <f>IFERROR(VLOOKUP(A:A,Assessment_Analysis_Ready!A:F,6,FALSE),"Not Available")</f>
        <v/>
      </c>
      <c r="J66" s="14">
        <f>IFERROR(VLOOKUP(A:A,Discipline_Analysis_Ready!A:C,3,FALSE),"Not Available")</f>
        <v/>
      </c>
      <c r="K66" s="14">
        <f>IFERROR(VLOOKUP(A:A,Discipline_Analysis_Ready!A:D,4,FALSE),"Not Available")</f>
        <v/>
      </c>
    </row>
    <row r="67">
      <c r="A67" s="15" t="inlineStr">
        <is>
          <t>S1068</t>
        </is>
      </c>
      <c r="B67" s="14">
        <f>VLOOKUP(A67,Student_Analysis_Ready!A:D,4,FALSE)</f>
        <v/>
      </c>
      <c r="C67" s="14">
        <f>VLOOKUP(A:A,Student_Analysis_Ready!A:F,6,FALSE)</f>
        <v/>
      </c>
      <c r="D67" s="14">
        <f>VLOOKUP(A:A,Student_Analysis_Ready!A:E,5,FALSE)</f>
        <v/>
      </c>
      <c r="E67" s="14">
        <f>IFERROR(VLOOKUP(A:A,Attendence_Analysis_Ready!A:F,6,FALSE),"0")</f>
        <v/>
      </c>
      <c r="F67" s="14">
        <f>IFERROR(VLOOKUP(A:A,Assessment_Analysis_Ready!A:C,3,FALSE),"Not Available")</f>
        <v/>
      </c>
      <c r="G67" s="16">
        <f>IFERROR(VLOOKUP(A:A,Assessment_Analysis_Ready!A:D,4,FALSE),"Not Available")</f>
        <v/>
      </c>
      <c r="H67" s="14">
        <f>IFERROR(VLOOKUP(A:A,Assessment_Analysis_Ready!A:E,5,FALSE),"Not Available")</f>
        <v/>
      </c>
      <c r="I67" s="14">
        <f>IFERROR(VLOOKUP(A:A,Assessment_Analysis_Ready!A:F,6,FALSE),"Not Available")</f>
        <v/>
      </c>
      <c r="J67" s="14">
        <f>IFERROR(VLOOKUP(A:A,Discipline_Analysis_Ready!A:C,3,FALSE),"Not Available")</f>
        <v/>
      </c>
      <c r="K67" s="14">
        <f>IFERROR(VLOOKUP(A:A,Discipline_Analysis_Ready!A:D,4,FALSE),"Not Available")</f>
        <v/>
      </c>
    </row>
    <row r="68">
      <c r="A68" s="15" t="inlineStr">
        <is>
          <t>S1069</t>
        </is>
      </c>
      <c r="B68" s="14">
        <f>VLOOKUP(A68,Student_Analysis_Ready!A:D,4,FALSE)</f>
        <v/>
      </c>
      <c r="C68" s="14">
        <f>VLOOKUP(A:A,Student_Analysis_Ready!A:F,6,FALSE)</f>
        <v/>
      </c>
      <c r="D68" s="14">
        <f>VLOOKUP(A:A,Student_Analysis_Ready!A:E,5,FALSE)</f>
        <v/>
      </c>
      <c r="E68" s="14">
        <f>IFERROR(VLOOKUP(A:A,Attendence_Analysis_Ready!A:F,6,FALSE),"0")</f>
        <v/>
      </c>
      <c r="F68" s="14">
        <f>IFERROR(VLOOKUP(A:A,Assessment_Analysis_Ready!A:C,3,FALSE),"Not Available")</f>
        <v/>
      </c>
      <c r="G68" s="16">
        <f>IFERROR(VLOOKUP(A:A,Assessment_Analysis_Ready!A:D,4,FALSE),"Not Available")</f>
        <v/>
      </c>
      <c r="H68" s="14">
        <f>IFERROR(VLOOKUP(A:A,Assessment_Analysis_Ready!A:E,5,FALSE),"Not Available")</f>
        <v/>
      </c>
      <c r="I68" s="14">
        <f>IFERROR(VLOOKUP(A:A,Assessment_Analysis_Ready!A:F,6,FALSE),"Not Available")</f>
        <v/>
      </c>
      <c r="J68" s="14">
        <f>IFERROR(VLOOKUP(A:A,Discipline_Analysis_Ready!A:C,3,FALSE),"Not Available")</f>
        <v/>
      </c>
      <c r="K68" s="14">
        <f>IFERROR(VLOOKUP(A:A,Discipline_Analysis_Ready!A:D,4,FALSE),"Not Available")</f>
        <v/>
      </c>
    </row>
    <row r="69">
      <c r="A69" s="15" t="inlineStr">
        <is>
          <t>S1070</t>
        </is>
      </c>
      <c r="B69" s="14">
        <f>VLOOKUP(A69,Student_Analysis_Ready!A:D,4,FALSE)</f>
        <v/>
      </c>
      <c r="C69" s="14">
        <f>VLOOKUP(A:A,Student_Analysis_Ready!A:F,6,FALSE)</f>
        <v/>
      </c>
      <c r="D69" s="14">
        <f>VLOOKUP(A:A,Student_Analysis_Ready!A:E,5,FALSE)</f>
        <v/>
      </c>
      <c r="E69" s="14">
        <f>IFERROR(VLOOKUP(A:A,Attendence_Analysis_Ready!A:F,6,FALSE),"0")</f>
        <v/>
      </c>
      <c r="F69" s="14">
        <f>IFERROR(VLOOKUP(A:A,Assessment_Analysis_Ready!A:C,3,FALSE),"Not Available")</f>
        <v/>
      </c>
      <c r="G69" s="16">
        <f>IFERROR(VLOOKUP(A:A,Assessment_Analysis_Ready!A:D,4,FALSE),"Not Available")</f>
        <v/>
      </c>
      <c r="H69" s="14">
        <f>IFERROR(VLOOKUP(A:A,Assessment_Analysis_Ready!A:E,5,FALSE),"Not Available")</f>
        <v/>
      </c>
      <c r="I69" s="14">
        <f>IFERROR(VLOOKUP(A:A,Assessment_Analysis_Ready!A:F,6,FALSE),"Not Available")</f>
        <v/>
      </c>
      <c r="J69" s="14">
        <f>IFERROR(VLOOKUP(A:A,Discipline_Analysis_Ready!A:C,3,FALSE),"Not Available")</f>
        <v/>
      </c>
      <c r="K69" s="14">
        <f>IFERROR(VLOOKUP(A:A,Discipline_Analysis_Ready!A:D,4,FALSE),"Not Available")</f>
        <v/>
      </c>
    </row>
    <row r="70">
      <c r="A70" s="15" t="inlineStr">
        <is>
          <t>S1071</t>
        </is>
      </c>
      <c r="B70" s="14">
        <f>VLOOKUP(A70,Student_Analysis_Ready!A:D,4,FALSE)</f>
        <v/>
      </c>
      <c r="C70" s="14">
        <f>VLOOKUP(A:A,Student_Analysis_Ready!A:F,6,FALSE)</f>
        <v/>
      </c>
      <c r="D70" s="14">
        <f>VLOOKUP(A:A,Student_Analysis_Ready!A:E,5,FALSE)</f>
        <v/>
      </c>
      <c r="E70" s="14">
        <f>IFERROR(VLOOKUP(A:A,Attendence_Analysis_Ready!A:F,6,FALSE),"0")</f>
        <v/>
      </c>
      <c r="F70" s="14">
        <f>IFERROR(VLOOKUP(A:A,Assessment_Analysis_Ready!A:C,3,FALSE),"Not Available")</f>
        <v/>
      </c>
      <c r="G70" s="16">
        <f>IFERROR(VLOOKUP(A:A,Assessment_Analysis_Ready!A:D,4,FALSE),"Not Available")</f>
        <v/>
      </c>
      <c r="H70" s="14">
        <f>IFERROR(VLOOKUP(A:A,Assessment_Analysis_Ready!A:E,5,FALSE),"Not Available")</f>
        <v/>
      </c>
      <c r="I70" s="14">
        <f>IFERROR(VLOOKUP(A:A,Assessment_Analysis_Ready!A:F,6,FALSE),"Not Available")</f>
        <v/>
      </c>
      <c r="J70" s="14">
        <f>IFERROR(VLOOKUP(A:A,Discipline_Analysis_Ready!A:C,3,FALSE),"Not Available")</f>
        <v/>
      </c>
      <c r="K70" s="14">
        <f>IFERROR(VLOOKUP(A:A,Discipline_Analysis_Ready!A:D,4,FALSE),"Not Available")</f>
        <v/>
      </c>
    </row>
    <row r="71">
      <c r="A71" s="15" t="inlineStr">
        <is>
          <t>S1072</t>
        </is>
      </c>
      <c r="B71" s="14">
        <f>VLOOKUP(A71,Student_Analysis_Ready!A:D,4,FALSE)</f>
        <v/>
      </c>
      <c r="C71" s="14">
        <f>VLOOKUP(A:A,Student_Analysis_Ready!A:F,6,FALSE)</f>
        <v/>
      </c>
      <c r="D71" s="14">
        <f>VLOOKUP(A:A,Student_Analysis_Ready!A:E,5,FALSE)</f>
        <v/>
      </c>
      <c r="E71" s="14">
        <f>IFERROR(VLOOKUP(A:A,Attendence_Analysis_Ready!A:F,6,FALSE),"0")</f>
        <v/>
      </c>
      <c r="F71" s="14">
        <f>IFERROR(VLOOKUP(A:A,Assessment_Analysis_Ready!A:C,3,FALSE),"Not Available")</f>
        <v/>
      </c>
      <c r="G71" s="16">
        <f>IFERROR(VLOOKUP(A:A,Assessment_Analysis_Ready!A:D,4,FALSE),"Not Available")</f>
        <v/>
      </c>
      <c r="H71" s="14">
        <f>IFERROR(VLOOKUP(A:A,Assessment_Analysis_Ready!A:E,5,FALSE),"Not Available")</f>
        <v/>
      </c>
      <c r="I71" s="14">
        <f>IFERROR(VLOOKUP(A:A,Assessment_Analysis_Ready!A:F,6,FALSE),"Not Available")</f>
        <v/>
      </c>
      <c r="J71" s="14">
        <f>IFERROR(VLOOKUP(A:A,Discipline_Analysis_Ready!A:C,3,FALSE),"Not Available")</f>
        <v/>
      </c>
      <c r="K71" s="14">
        <f>IFERROR(VLOOKUP(A:A,Discipline_Analysis_Ready!A:D,4,FALSE),"Not Available")</f>
        <v/>
      </c>
    </row>
    <row r="72">
      <c r="A72" s="15" t="inlineStr">
        <is>
          <t>S1073</t>
        </is>
      </c>
      <c r="B72" s="14">
        <f>VLOOKUP(A72,Student_Analysis_Ready!A:D,4,FALSE)</f>
        <v/>
      </c>
      <c r="C72" s="14">
        <f>VLOOKUP(A:A,Student_Analysis_Ready!A:F,6,FALSE)</f>
        <v/>
      </c>
      <c r="D72" s="14">
        <f>VLOOKUP(A:A,Student_Analysis_Ready!A:E,5,FALSE)</f>
        <v/>
      </c>
      <c r="E72" s="14">
        <f>IFERROR(VLOOKUP(A:A,Attendence_Analysis_Ready!A:F,6,FALSE),"0")</f>
        <v/>
      </c>
      <c r="F72" s="14">
        <f>IFERROR(VLOOKUP(A:A,Assessment_Analysis_Ready!A:C,3,FALSE),"Not Available")</f>
        <v/>
      </c>
      <c r="G72" s="16">
        <f>IFERROR(VLOOKUP(A:A,Assessment_Analysis_Ready!A:D,4,FALSE),"Not Available")</f>
        <v/>
      </c>
      <c r="H72" s="14">
        <f>IFERROR(VLOOKUP(A:A,Assessment_Analysis_Ready!A:E,5,FALSE),"Not Available")</f>
        <v/>
      </c>
      <c r="I72" s="14">
        <f>IFERROR(VLOOKUP(A:A,Assessment_Analysis_Ready!A:F,6,FALSE),"Not Available")</f>
        <v/>
      </c>
      <c r="J72" s="14">
        <f>IFERROR(VLOOKUP(A:A,Discipline_Analysis_Ready!A:C,3,FALSE),"Not Available")</f>
        <v/>
      </c>
      <c r="K72" s="14">
        <f>IFERROR(VLOOKUP(A:A,Discipline_Analysis_Ready!A:D,4,FALSE),"Not Available")</f>
        <v/>
      </c>
    </row>
    <row r="73">
      <c r="A73" s="15" t="inlineStr">
        <is>
          <t>S1074</t>
        </is>
      </c>
      <c r="B73" s="14">
        <f>VLOOKUP(A73,Student_Analysis_Ready!A:D,4,FALSE)</f>
        <v/>
      </c>
      <c r="C73" s="14">
        <f>VLOOKUP(A:A,Student_Analysis_Ready!A:F,6,FALSE)</f>
        <v/>
      </c>
      <c r="D73" s="14">
        <f>VLOOKUP(A:A,Student_Analysis_Ready!A:E,5,FALSE)</f>
        <v/>
      </c>
      <c r="E73" s="14">
        <f>IFERROR(VLOOKUP(A:A,Attendence_Analysis_Ready!A:F,6,FALSE),"0")</f>
        <v/>
      </c>
      <c r="F73" s="14">
        <f>IFERROR(VLOOKUP(A:A,Assessment_Analysis_Ready!A:C,3,FALSE),"Not Available")</f>
        <v/>
      </c>
      <c r="G73" s="16">
        <f>IFERROR(VLOOKUP(A:A,Assessment_Analysis_Ready!A:D,4,FALSE),"Not Available")</f>
        <v/>
      </c>
      <c r="H73" s="14">
        <f>IFERROR(VLOOKUP(A:A,Assessment_Analysis_Ready!A:E,5,FALSE),"Not Available")</f>
        <v/>
      </c>
      <c r="I73" s="14">
        <f>IFERROR(VLOOKUP(A:A,Assessment_Analysis_Ready!A:F,6,FALSE),"Not Available")</f>
        <v/>
      </c>
      <c r="J73" s="14">
        <f>IFERROR(VLOOKUP(A:A,Discipline_Analysis_Ready!A:C,3,FALSE),"Not Available")</f>
        <v/>
      </c>
      <c r="K73" s="14">
        <f>IFERROR(VLOOKUP(A:A,Discipline_Analysis_Ready!A:D,4,FALSE),"Not Available")</f>
        <v/>
      </c>
    </row>
    <row r="74">
      <c r="A74" s="15" t="inlineStr">
        <is>
          <t>S1075</t>
        </is>
      </c>
      <c r="B74" s="14">
        <f>VLOOKUP(A74,Student_Analysis_Ready!A:D,4,FALSE)</f>
        <v/>
      </c>
      <c r="C74" s="14">
        <f>VLOOKUP(A:A,Student_Analysis_Ready!A:F,6,FALSE)</f>
        <v/>
      </c>
      <c r="D74" s="14">
        <f>VLOOKUP(A:A,Student_Analysis_Ready!A:E,5,FALSE)</f>
        <v/>
      </c>
      <c r="E74" s="14">
        <f>IFERROR(VLOOKUP(A:A,Attendence_Analysis_Ready!A:F,6,FALSE),"0")</f>
        <v/>
      </c>
      <c r="F74" s="14">
        <f>IFERROR(VLOOKUP(A:A,Assessment_Analysis_Ready!A:C,3,FALSE),"Not Available")</f>
        <v/>
      </c>
      <c r="G74" s="16">
        <f>IFERROR(VLOOKUP(A:A,Assessment_Analysis_Ready!A:D,4,FALSE),"Not Available")</f>
        <v/>
      </c>
      <c r="H74" s="14">
        <f>IFERROR(VLOOKUP(A:A,Assessment_Analysis_Ready!A:E,5,FALSE),"Not Available")</f>
        <v/>
      </c>
      <c r="I74" s="14">
        <f>IFERROR(VLOOKUP(A:A,Assessment_Analysis_Ready!A:F,6,FALSE),"Not Available")</f>
        <v/>
      </c>
      <c r="J74" s="14">
        <f>IFERROR(VLOOKUP(A:A,Discipline_Analysis_Ready!A:C,3,FALSE),"Not Available")</f>
        <v/>
      </c>
      <c r="K74" s="14">
        <f>IFERROR(VLOOKUP(A:A,Discipline_Analysis_Ready!A:D,4,FALSE),"Not Available")</f>
        <v/>
      </c>
    </row>
    <row r="75">
      <c r="A75" s="15" t="inlineStr">
        <is>
          <t>S1076</t>
        </is>
      </c>
      <c r="B75" s="14">
        <f>VLOOKUP(A75,Student_Analysis_Ready!A:D,4,FALSE)</f>
        <v/>
      </c>
      <c r="C75" s="14">
        <f>VLOOKUP(A:A,Student_Analysis_Ready!A:F,6,FALSE)</f>
        <v/>
      </c>
      <c r="D75" s="14">
        <f>VLOOKUP(A:A,Student_Analysis_Ready!A:E,5,FALSE)</f>
        <v/>
      </c>
      <c r="E75" s="14">
        <f>IFERROR(VLOOKUP(A:A,Attendence_Analysis_Ready!A:F,6,FALSE),"0")</f>
        <v/>
      </c>
      <c r="F75" s="14">
        <f>IFERROR(VLOOKUP(A:A,Assessment_Analysis_Ready!A:C,3,FALSE),"Not Available")</f>
        <v/>
      </c>
      <c r="G75" s="16">
        <f>IFERROR(VLOOKUP(A:A,Assessment_Analysis_Ready!A:D,4,FALSE),"Not Available")</f>
        <v/>
      </c>
      <c r="H75" s="14">
        <f>IFERROR(VLOOKUP(A:A,Assessment_Analysis_Ready!A:E,5,FALSE),"Not Available")</f>
        <v/>
      </c>
      <c r="I75" s="14">
        <f>IFERROR(VLOOKUP(A:A,Assessment_Analysis_Ready!A:F,6,FALSE),"Not Available")</f>
        <v/>
      </c>
      <c r="J75" s="14">
        <f>IFERROR(VLOOKUP(A:A,Discipline_Analysis_Ready!A:C,3,FALSE),"Not Available")</f>
        <v/>
      </c>
      <c r="K75" s="14">
        <f>IFERROR(VLOOKUP(A:A,Discipline_Analysis_Ready!A:D,4,FALSE),"Not Available")</f>
        <v/>
      </c>
    </row>
    <row r="76">
      <c r="A76" s="15" t="inlineStr">
        <is>
          <t>S1077</t>
        </is>
      </c>
      <c r="B76" s="14">
        <f>VLOOKUP(A76,Student_Analysis_Ready!A:D,4,FALSE)</f>
        <v/>
      </c>
      <c r="C76" s="14">
        <f>VLOOKUP(A:A,Student_Analysis_Ready!A:F,6,FALSE)</f>
        <v/>
      </c>
      <c r="D76" s="14">
        <f>VLOOKUP(A:A,Student_Analysis_Ready!A:E,5,FALSE)</f>
        <v/>
      </c>
      <c r="E76" s="14">
        <f>IFERROR(VLOOKUP(A:A,Attendence_Analysis_Ready!A:F,6,FALSE),"0")</f>
        <v/>
      </c>
      <c r="F76" s="14">
        <f>IFERROR(VLOOKUP(A:A,Assessment_Analysis_Ready!A:C,3,FALSE),"Not Available")</f>
        <v/>
      </c>
      <c r="G76" s="16">
        <f>IFERROR(VLOOKUP(A:A,Assessment_Analysis_Ready!A:D,4,FALSE),"Not Available")</f>
        <v/>
      </c>
      <c r="H76" s="14">
        <f>IFERROR(VLOOKUP(A:A,Assessment_Analysis_Ready!A:E,5,FALSE),"Not Available")</f>
        <v/>
      </c>
      <c r="I76" s="14">
        <f>IFERROR(VLOOKUP(A:A,Assessment_Analysis_Ready!A:F,6,FALSE),"Not Available")</f>
        <v/>
      </c>
      <c r="J76" s="14">
        <f>IFERROR(VLOOKUP(A:A,Discipline_Analysis_Ready!A:C,3,FALSE),"Not Available")</f>
        <v/>
      </c>
      <c r="K76" s="14">
        <f>IFERROR(VLOOKUP(A:A,Discipline_Analysis_Ready!A:D,4,FALSE),"Not Available")</f>
        <v/>
      </c>
    </row>
    <row r="77">
      <c r="A77" s="15" t="inlineStr">
        <is>
          <t>S1078</t>
        </is>
      </c>
      <c r="B77" s="14">
        <f>VLOOKUP(A77,Student_Analysis_Ready!A:D,4,FALSE)</f>
        <v/>
      </c>
      <c r="C77" s="14">
        <f>VLOOKUP(A:A,Student_Analysis_Ready!A:F,6,FALSE)</f>
        <v/>
      </c>
      <c r="D77" s="14">
        <f>VLOOKUP(A:A,Student_Analysis_Ready!A:E,5,FALSE)</f>
        <v/>
      </c>
      <c r="E77" s="14">
        <f>IFERROR(VLOOKUP(A:A,Attendence_Analysis_Ready!A:F,6,FALSE),"0")</f>
        <v/>
      </c>
      <c r="F77" s="14">
        <f>IFERROR(VLOOKUP(A:A,Assessment_Analysis_Ready!A:C,3,FALSE),"Not Available")</f>
        <v/>
      </c>
      <c r="G77" s="16">
        <f>IFERROR(VLOOKUP(A:A,Assessment_Analysis_Ready!A:D,4,FALSE),"Not Available")</f>
        <v/>
      </c>
      <c r="H77" s="14">
        <f>IFERROR(VLOOKUP(A:A,Assessment_Analysis_Ready!A:E,5,FALSE),"Not Available")</f>
        <v/>
      </c>
      <c r="I77" s="14">
        <f>IFERROR(VLOOKUP(A:A,Assessment_Analysis_Ready!A:F,6,FALSE),"Not Available")</f>
        <v/>
      </c>
      <c r="J77" s="14">
        <f>IFERROR(VLOOKUP(A:A,Discipline_Analysis_Ready!A:C,3,FALSE),"Not Available")</f>
        <v/>
      </c>
      <c r="K77" s="14">
        <f>IFERROR(VLOOKUP(A:A,Discipline_Analysis_Ready!A:D,4,FALSE),"Not Available")</f>
        <v/>
      </c>
    </row>
    <row r="78">
      <c r="A78" s="15" t="inlineStr">
        <is>
          <t>S1079</t>
        </is>
      </c>
      <c r="B78" s="14">
        <f>VLOOKUP(A78,Student_Analysis_Ready!A:D,4,FALSE)</f>
        <v/>
      </c>
      <c r="C78" s="14">
        <f>VLOOKUP(A:A,Student_Analysis_Ready!A:F,6,FALSE)</f>
        <v/>
      </c>
      <c r="D78" s="14">
        <f>VLOOKUP(A:A,Student_Analysis_Ready!A:E,5,FALSE)</f>
        <v/>
      </c>
      <c r="E78" s="14">
        <f>IFERROR(VLOOKUP(A:A,Attendence_Analysis_Ready!A:F,6,FALSE),"0")</f>
        <v/>
      </c>
      <c r="F78" s="14">
        <f>IFERROR(VLOOKUP(A:A,Assessment_Analysis_Ready!A:C,3,FALSE),"Not Available")</f>
        <v/>
      </c>
      <c r="G78" s="16">
        <f>IFERROR(VLOOKUP(A:A,Assessment_Analysis_Ready!A:D,4,FALSE),"Not Available")</f>
        <v/>
      </c>
      <c r="H78" s="14">
        <f>IFERROR(VLOOKUP(A:A,Assessment_Analysis_Ready!A:E,5,FALSE),"Not Available")</f>
        <v/>
      </c>
      <c r="I78" s="14">
        <f>IFERROR(VLOOKUP(A:A,Assessment_Analysis_Ready!A:F,6,FALSE),"Not Available")</f>
        <v/>
      </c>
      <c r="J78" s="14">
        <f>IFERROR(VLOOKUP(A:A,Discipline_Analysis_Ready!A:C,3,FALSE),"Not Available")</f>
        <v/>
      </c>
      <c r="K78" s="14">
        <f>IFERROR(VLOOKUP(A:A,Discipline_Analysis_Ready!A:D,4,FALSE),"Not Available")</f>
        <v/>
      </c>
    </row>
    <row r="79">
      <c r="A79" s="15" t="inlineStr">
        <is>
          <t>S1080</t>
        </is>
      </c>
      <c r="B79" s="14">
        <f>VLOOKUP(A79,Student_Analysis_Ready!A:D,4,FALSE)</f>
        <v/>
      </c>
      <c r="C79" s="14">
        <f>VLOOKUP(A:A,Student_Analysis_Ready!A:F,6,FALSE)</f>
        <v/>
      </c>
      <c r="D79" s="14">
        <f>VLOOKUP(A:A,Student_Analysis_Ready!A:E,5,FALSE)</f>
        <v/>
      </c>
      <c r="E79" s="14">
        <f>IFERROR(VLOOKUP(A:A,Attendence_Analysis_Ready!A:F,6,FALSE),"0")</f>
        <v/>
      </c>
      <c r="F79" s="14">
        <f>IFERROR(VLOOKUP(A:A,Assessment_Analysis_Ready!A:C,3,FALSE),"Not Available")</f>
        <v/>
      </c>
      <c r="G79" s="16">
        <f>IFERROR(VLOOKUP(A:A,Assessment_Analysis_Ready!A:D,4,FALSE),"Not Available")</f>
        <v/>
      </c>
      <c r="H79" s="14">
        <f>IFERROR(VLOOKUP(A:A,Assessment_Analysis_Ready!A:E,5,FALSE),"Not Available")</f>
        <v/>
      </c>
      <c r="I79" s="14">
        <f>IFERROR(VLOOKUP(A:A,Assessment_Analysis_Ready!A:F,6,FALSE),"Not Available")</f>
        <v/>
      </c>
      <c r="J79" s="14">
        <f>IFERROR(VLOOKUP(A:A,Discipline_Analysis_Ready!A:C,3,FALSE),"Not Available")</f>
        <v/>
      </c>
      <c r="K79" s="14">
        <f>IFERROR(VLOOKUP(A:A,Discipline_Analysis_Ready!A:D,4,FALSE),"Not Available")</f>
        <v/>
      </c>
    </row>
    <row r="80">
      <c r="A80" s="15" t="inlineStr">
        <is>
          <t>S1081</t>
        </is>
      </c>
      <c r="B80" s="14">
        <f>VLOOKUP(A80,Student_Analysis_Ready!A:D,4,FALSE)</f>
        <v/>
      </c>
      <c r="C80" s="14">
        <f>VLOOKUP(A:A,Student_Analysis_Ready!A:F,6,FALSE)</f>
        <v/>
      </c>
      <c r="D80" s="14">
        <f>VLOOKUP(A:A,Student_Analysis_Ready!A:E,5,FALSE)</f>
        <v/>
      </c>
      <c r="E80" s="14">
        <f>IFERROR(VLOOKUP(A:A,Attendence_Analysis_Ready!A:F,6,FALSE),"0")</f>
        <v/>
      </c>
      <c r="F80" s="14">
        <f>IFERROR(VLOOKUP(A:A,Assessment_Analysis_Ready!A:C,3,FALSE),"Not Available")</f>
        <v/>
      </c>
      <c r="G80" s="16">
        <f>IFERROR(VLOOKUP(A:A,Assessment_Analysis_Ready!A:D,4,FALSE),"Not Available")</f>
        <v/>
      </c>
      <c r="H80" s="14">
        <f>IFERROR(VLOOKUP(A:A,Assessment_Analysis_Ready!A:E,5,FALSE),"Not Available")</f>
        <v/>
      </c>
      <c r="I80" s="14">
        <f>IFERROR(VLOOKUP(A:A,Assessment_Analysis_Ready!A:F,6,FALSE),"Not Available")</f>
        <v/>
      </c>
      <c r="J80" s="14">
        <f>IFERROR(VLOOKUP(A:A,Discipline_Analysis_Ready!A:C,3,FALSE),"Not Available")</f>
        <v/>
      </c>
      <c r="K80" s="14">
        <f>IFERROR(VLOOKUP(A:A,Discipline_Analysis_Ready!A:D,4,FALSE),"Not Available")</f>
        <v/>
      </c>
    </row>
    <row r="81">
      <c r="A81" s="15" t="inlineStr">
        <is>
          <t>S1082</t>
        </is>
      </c>
      <c r="B81" s="14">
        <f>VLOOKUP(A81,Student_Analysis_Ready!A:D,4,FALSE)</f>
        <v/>
      </c>
      <c r="C81" s="14">
        <f>VLOOKUP(A:A,Student_Analysis_Ready!A:F,6,FALSE)</f>
        <v/>
      </c>
      <c r="D81" s="14">
        <f>VLOOKUP(A:A,Student_Analysis_Ready!A:E,5,FALSE)</f>
        <v/>
      </c>
      <c r="E81" s="14">
        <f>IFERROR(VLOOKUP(A:A,Attendence_Analysis_Ready!A:F,6,FALSE),"0")</f>
        <v/>
      </c>
      <c r="F81" s="14">
        <f>IFERROR(VLOOKUP(A:A,Assessment_Analysis_Ready!A:C,3,FALSE),"Not Available")</f>
        <v/>
      </c>
      <c r="G81" s="16">
        <f>IFERROR(VLOOKUP(A:A,Assessment_Analysis_Ready!A:D,4,FALSE),"Not Available")</f>
        <v/>
      </c>
      <c r="H81" s="14">
        <f>IFERROR(VLOOKUP(A:A,Assessment_Analysis_Ready!A:E,5,FALSE),"Not Available")</f>
        <v/>
      </c>
      <c r="I81" s="14">
        <f>IFERROR(VLOOKUP(A:A,Assessment_Analysis_Ready!A:F,6,FALSE),"Not Available")</f>
        <v/>
      </c>
      <c r="J81" s="14">
        <f>IFERROR(VLOOKUP(A:A,Discipline_Analysis_Ready!A:C,3,FALSE),"Not Available")</f>
        <v/>
      </c>
      <c r="K81" s="14">
        <f>IFERROR(VLOOKUP(A:A,Discipline_Analysis_Ready!A:D,4,FALSE),"Not Available")</f>
        <v/>
      </c>
    </row>
    <row r="82">
      <c r="A82" s="15" t="inlineStr">
        <is>
          <t>S1083</t>
        </is>
      </c>
      <c r="B82" s="14">
        <f>VLOOKUP(A82,Student_Analysis_Ready!A:D,4,FALSE)</f>
        <v/>
      </c>
      <c r="C82" s="14">
        <f>VLOOKUP(A:A,Student_Analysis_Ready!A:F,6,FALSE)</f>
        <v/>
      </c>
      <c r="D82" s="14">
        <f>VLOOKUP(A:A,Student_Analysis_Ready!A:E,5,FALSE)</f>
        <v/>
      </c>
      <c r="E82" s="14">
        <f>IFERROR(VLOOKUP(A:A,Attendence_Analysis_Ready!A:F,6,FALSE),"0")</f>
        <v/>
      </c>
      <c r="F82" s="14">
        <f>IFERROR(VLOOKUP(A:A,Assessment_Analysis_Ready!A:C,3,FALSE),"Not Available")</f>
        <v/>
      </c>
      <c r="G82" s="16">
        <f>IFERROR(VLOOKUP(A:A,Assessment_Analysis_Ready!A:D,4,FALSE),"Not Available")</f>
        <v/>
      </c>
      <c r="H82" s="14">
        <f>IFERROR(VLOOKUP(A:A,Assessment_Analysis_Ready!A:E,5,FALSE),"Not Available")</f>
        <v/>
      </c>
      <c r="I82" s="14">
        <f>IFERROR(VLOOKUP(A:A,Assessment_Analysis_Ready!A:F,6,FALSE),"Not Available")</f>
        <v/>
      </c>
      <c r="J82" s="14">
        <f>IFERROR(VLOOKUP(A:A,Discipline_Analysis_Ready!A:C,3,FALSE),"Not Available")</f>
        <v/>
      </c>
      <c r="K82" s="14">
        <f>IFERROR(VLOOKUP(A:A,Discipline_Analysis_Ready!A:D,4,FALSE),"Not Available")</f>
        <v/>
      </c>
    </row>
    <row r="83">
      <c r="A83" s="15" t="inlineStr">
        <is>
          <t>S1084</t>
        </is>
      </c>
      <c r="B83" s="14">
        <f>VLOOKUP(A83,Student_Analysis_Ready!A:D,4,FALSE)</f>
        <v/>
      </c>
      <c r="C83" s="14">
        <f>VLOOKUP(A:A,Student_Analysis_Ready!A:F,6,FALSE)</f>
        <v/>
      </c>
      <c r="D83" s="14">
        <f>VLOOKUP(A:A,Student_Analysis_Ready!A:E,5,FALSE)</f>
        <v/>
      </c>
      <c r="E83" s="14">
        <f>IFERROR(VLOOKUP(A:A,Attendence_Analysis_Ready!A:F,6,FALSE),"0")</f>
        <v/>
      </c>
      <c r="F83" s="14">
        <f>IFERROR(VLOOKUP(A:A,Assessment_Analysis_Ready!A:C,3,FALSE),"Not Available")</f>
        <v/>
      </c>
      <c r="G83" s="16">
        <f>IFERROR(VLOOKUP(A:A,Assessment_Analysis_Ready!A:D,4,FALSE),"Not Available")</f>
        <v/>
      </c>
      <c r="H83" s="14">
        <f>IFERROR(VLOOKUP(A:A,Assessment_Analysis_Ready!A:E,5,FALSE),"Not Available")</f>
        <v/>
      </c>
      <c r="I83" s="14">
        <f>IFERROR(VLOOKUP(A:A,Assessment_Analysis_Ready!A:F,6,FALSE),"Not Available")</f>
        <v/>
      </c>
      <c r="J83" s="14">
        <f>IFERROR(VLOOKUP(A:A,Discipline_Analysis_Ready!A:C,3,FALSE),"Not Available")</f>
        <v/>
      </c>
      <c r="K83" s="14">
        <f>IFERROR(VLOOKUP(A:A,Discipline_Analysis_Ready!A:D,4,FALSE),"Not Available")</f>
        <v/>
      </c>
    </row>
    <row r="84">
      <c r="A84" s="15" t="inlineStr">
        <is>
          <t>S1085</t>
        </is>
      </c>
      <c r="B84" s="14">
        <f>VLOOKUP(A84,Student_Analysis_Ready!A:D,4,FALSE)</f>
        <v/>
      </c>
      <c r="C84" s="14">
        <f>VLOOKUP(A:A,Student_Analysis_Ready!A:F,6,FALSE)</f>
        <v/>
      </c>
      <c r="D84" s="14">
        <f>VLOOKUP(A:A,Student_Analysis_Ready!A:E,5,FALSE)</f>
        <v/>
      </c>
      <c r="E84" s="14">
        <f>IFERROR(VLOOKUP(A:A,Attendence_Analysis_Ready!A:F,6,FALSE),"0")</f>
        <v/>
      </c>
      <c r="F84" s="14">
        <f>IFERROR(VLOOKUP(A:A,Assessment_Analysis_Ready!A:C,3,FALSE),"Not Available")</f>
        <v/>
      </c>
      <c r="G84" s="16">
        <f>IFERROR(VLOOKUP(A:A,Assessment_Analysis_Ready!A:D,4,FALSE),"Not Available")</f>
        <v/>
      </c>
      <c r="H84" s="14">
        <f>IFERROR(VLOOKUP(A:A,Assessment_Analysis_Ready!A:E,5,FALSE),"Not Available")</f>
        <v/>
      </c>
      <c r="I84" s="14">
        <f>IFERROR(VLOOKUP(A:A,Assessment_Analysis_Ready!A:F,6,FALSE),"Not Available")</f>
        <v/>
      </c>
      <c r="J84" s="14">
        <f>IFERROR(VLOOKUP(A:A,Discipline_Analysis_Ready!A:C,3,FALSE),"Not Available")</f>
        <v/>
      </c>
      <c r="K84" s="14">
        <f>IFERROR(VLOOKUP(A:A,Discipline_Analysis_Ready!A:D,4,FALSE),"Not Available")</f>
        <v/>
      </c>
    </row>
    <row r="85">
      <c r="A85" s="15" t="inlineStr">
        <is>
          <t>S1086</t>
        </is>
      </c>
      <c r="B85" s="14">
        <f>VLOOKUP(A85,Student_Analysis_Ready!A:D,4,FALSE)</f>
        <v/>
      </c>
      <c r="C85" s="14">
        <f>VLOOKUP(A:A,Student_Analysis_Ready!A:F,6,FALSE)</f>
        <v/>
      </c>
      <c r="D85" s="14">
        <f>VLOOKUP(A:A,Student_Analysis_Ready!A:E,5,FALSE)</f>
        <v/>
      </c>
      <c r="E85" s="14">
        <f>IFERROR(VLOOKUP(A:A,Attendence_Analysis_Ready!A:F,6,FALSE),"0")</f>
        <v/>
      </c>
      <c r="F85" s="14">
        <f>IFERROR(VLOOKUP(A:A,Assessment_Analysis_Ready!A:C,3,FALSE),"Not Available")</f>
        <v/>
      </c>
      <c r="G85" s="16">
        <f>IFERROR(VLOOKUP(A:A,Assessment_Analysis_Ready!A:D,4,FALSE),"Not Available")</f>
        <v/>
      </c>
      <c r="H85" s="14">
        <f>IFERROR(VLOOKUP(A:A,Assessment_Analysis_Ready!A:E,5,FALSE),"Not Available")</f>
        <v/>
      </c>
      <c r="I85" s="14">
        <f>IFERROR(VLOOKUP(A:A,Assessment_Analysis_Ready!A:F,6,FALSE),"Not Available")</f>
        <v/>
      </c>
      <c r="J85" s="14">
        <f>IFERROR(VLOOKUP(A:A,Discipline_Analysis_Ready!A:C,3,FALSE),"Not Available")</f>
        <v/>
      </c>
      <c r="K85" s="14">
        <f>IFERROR(VLOOKUP(A:A,Discipline_Analysis_Ready!A:D,4,FALSE),"Not Available")</f>
        <v/>
      </c>
    </row>
    <row r="86">
      <c r="A86" s="15" t="inlineStr">
        <is>
          <t>S1087</t>
        </is>
      </c>
      <c r="B86" s="14">
        <f>VLOOKUP(A86,Student_Analysis_Ready!A:D,4,FALSE)</f>
        <v/>
      </c>
      <c r="C86" s="14">
        <f>VLOOKUP(A:A,Student_Analysis_Ready!A:F,6,FALSE)</f>
        <v/>
      </c>
      <c r="D86" s="14">
        <f>VLOOKUP(A:A,Student_Analysis_Ready!A:E,5,FALSE)</f>
        <v/>
      </c>
      <c r="E86" s="14">
        <f>IFERROR(VLOOKUP(A:A,Attendence_Analysis_Ready!A:F,6,FALSE),"0")</f>
        <v/>
      </c>
      <c r="F86" s="14">
        <f>IFERROR(VLOOKUP(A:A,Assessment_Analysis_Ready!A:C,3,FALSE),"Not Available")</f>
        <v/>
      </c>
      <c r="G86" s="16">
        <f>IFERROR(VLOOKUP(A:A,Assessment_Analysis_Ready!A:D,4,FALSE),"Not Available")</f>
        <v/>
      </c>
      <c r="H86" s="14">
        <f>IFERROR(VLOOKUP(A:A,Assessment_Analysis_Ready!A:E,5,FALSE),"Not Available")</f>
        <v/>
      </c>
      <c r="I86" s="14">
        <f>IFERROR(VLOOKUP(A:A,Assessment_Analysis_Ready!A:F,6,FALSE),"Not Available")</f>
        <v/>
      </c>
      <c r="J86" s="14">
        <f>IFERROR(VLOOKUP(A:A,Discipline_Analysis_Ready!A:C,3,FALSE),"Not Available")</f>
        <v/>
      </c>
      <c r="K86" s="14">
        <f>IFERROR(VLOOKUP(A:A,Discipline_Analysis_Ready!A:D,4,FALSE),"Not Available")</f>
        <v/>
      </c>
    </row>
    <row r="87">
      <c r="A87" s="15" t="inlineStr">
        <is>
          <t>S1088</t>
        </is>
      </c>
      <c r="B87" s="14">
        <f>VLOOKUP(A87,Student_Analysis_Ready!A:D,4,FALSE)</f>
        <v/>
      </c>
      <c r="C87" s="14">
        <f>VLOOKUP(A:A,Student_Analysis_Ready!A:F,6,FALSE)</f>
        <v/>
      </c>
      <c r="D87" s="14">
        <f>VLOOKUP(A:A,Student_Analysis_Ready!A:E,5,FALSE)</f>
        <v/>
      </c>
      <c r="E87" s="14">
        <f>IFERROR(VLOOKUP(A:A,Attendence_Analysis_Ready!A:F,6,FALSE),"0")</f>
        <v/>
      </c>
      <c r="F87" s="14">
        <f>IFERROR(VLOOKUP(A:A,Assessment_Analysis_Ready!A:C,3,FALSE),"Not Available")</f>
        <v/>
      </c>
      <c r="G87" s="16">
        <f>IFERROR(VLOOKUP(A:A,Assessment_Analysis_Ready!A:D,4,FALSE),"Not Available")</f>
        <v/>
      </c>
      <c r="H87" s="14">
        <f>IFERROR(VLOOKUP(A:A,Assessment_Analysis_Ready!A:E,5,FALSE),"Not Available")</f>
        <v/>
      </c>
      <c r="I87" s="14">
        <f>IFERROR(VLOOKUP(A:A,Assessment_Analysis_Ready!A:F,6,FALSE),"Not Available")</f>
        <v/>
      </c>
      <c r="J87" s="14">
        <f>IFERROR(VLOOKUP(A:A,Discipline_Analysis_Ready!A:C,3,FALSE),"Not Available")</f>
        <v/>
      </c>
      <c r="K87" s="14">
        <f>IFERROR(VLOOKUP(A:A,Discipline_Analysis_Ready!A:D,4,FALSE),"Not Available")</f>
        <v/>
      </c>
    </row>
    <row r="88">
      <c r="A88" s="15" t="inlineStr">
        <is>
          <t>S1089</t>
        </is>
      </c>
      <c r="B88" s="14">
        <f>VLOOKUP(A88,Student_Analysis_Ready!A:D,4,FALSE)</f>
        <v/>
      </c>
      <c r="C88" s="14">
        <f>VLOOKUP(A:A,Student_Analysis_Ready!A:F,6,FALSE)</f>
        <v/>
      </c>
      <c r="D88" s="14">
        <f>VLOOKUP(A:A,Student_Analysis_Ready!A:E,5,FALSE)</f>
        <v/>
      </c>
      <c r="E88" s="14">
        <f>IFERROR(VLOOKUP(A:A,Attendence_Analysis_Ready!A:F,6,FALSE),"0")</f>
        <v/>
      </c>
      <c r="F88" s="14">
        <f>IFERROR(VLOOKUP(A:A,Assessment_Analysis_Ready!A:C,3,FALSE),"Not Available")</f>
        <v/>
      </c>
      <c r="G88" s="16">
        <f>IFERROR(VLOOKUP(A:A,Assessment_Analysis_Ready!A:D,4,FALSE),"Not Available")</f>
        <v/>
      </c>
      <c r="H88" s="14">
        <f>IFERROR(VLOOKUP(A:A,Assessment_Analysis_Ready!A:E,5,FALSE),"Not Available")</f>
        <v/>
      </c>
      <c r="I88" s="14">
        <f>IFERROR(VLOOKUP(A:A,Assessment_Analysis_Ready!A:F,6,FALSE),"Not Available")</f>
        <v/>
      </c>
      <c r="J88" s="14">
        <f>IFERROR(VLOOKUP(A:A,Discipline_Analysis_Ready!A:C,3,FALSE),"Not Available")</f>
        <v/>
      </c>
      <c r="K88" s="14">
        <f>IFERROR(VLOOKUP(A:A,Discipline_Analysis_Ready!A:D,4,FALSE),"Not Available")</f>
        <v/>
      </c>
    </row>
    <row r="89">
      <c r="A89" s="15" t="inlineStr">
        <is>
          <t>S1090</t>
        </is>
      </c>
      <c r="B89" s="14">
        <f>VLOOKUP(A89,Student_Analysis_Ready!A:D,4,FALSE)</f>
        <v/>
      </c>
      <c r="C89" s="14">
        <f>VLOOKUP(A:A,Student_Analysis_Ready!A:F,6,FALSE)</f>
        <v/>
      </c>
      <c r="D89" s="14">
        <f>VLOOKUP(A:A,Student_Analysis_Ready!A:E,5,FALSE)</f>
        <v/>
      </c>
      <c r="E89" s="14">
        <f>IFERROR(VLOOKUP(A:A,Attendence_Analysis_Ready!A:F,6,FALSE),"0")</f>
        <v/>
      </c>
      <c r="F89" s="14">
        <f>IFERROR(VLOOKUP(A:A,Assessment_Analysis_Ready!A:C,3,FALSE),"Not Available")</f>
        <v/>
      </c>
      <c r="G89" s="16">
        <f>IFERROR(VLOOKUP(A:A,Assessment_Analysis_Ready!A:D,4,FALSE),"Not Available")</f>
        <v/>
      </c>
      <c r="H89" s="14">
        <f>IFERROR(VLOOKUP(A:A,Assessment_Analysis_Ready!A:E,5,FALSE),"Not Available")</f>
        <v/>
      </c>
      <c r="I89" s="14">
        <f>IFERROR(VLOOKUP(A:A,Assessment_Analysis_Ready!A:F,6,FALSE),"Not Available")</f>
        <v/>
      </c>
      <c r="J89" s="14">
        <f>IFERROR(VLOOKUP(A:A,Discipline_Analysis_Ready!A:C,3,FALSE),"Not Available")</f>
        <v/>
      </c>
      <c r="K89" s="14">
        <f>IFERROR(VLOOKUP(A:A,Discipline_Analysis_Ready!A:D,4,FALSE),"Not Available")</f>
        <v/>
      </c>
    </row>
    <row r="90">
      <c r="A90" s="15" t="inlineStr">
        <is>
          <t>S1091</t>
        </is>
      </c>
      <c r="B90" s="14">
        <f>VLOOKUP(A90,Student_Analysis_Ready!A:D,4,FALSE)</f>
        <v/>
      </c>
      <c r="C90" s="14">
        <f>VLOOKUP(A:A,Student_Analysis_Ready!A:F,6,FALSE)</f>
        <v/>
      </c>
      <c r="D90" s="14">
        <f>VLOOKUP(A:A,Student_Analysis_Ready!A:E,5,FALSE)</f>
        <v/>
      </c>
      <c r="E90" s="14">
        <f>IFERROR(VLOOKUP(A:A,Attendence_Analysis_Ready!A:F,6,FALSE),"0")</f>
        <v/>
      </c>
      <c r="F90" s="14">
        <f>IFERROR(VLOOKUP(A:A,Assessment_Analysis_Ready!A:C,3,FALSE),"Not Available")</f>
        <v/>
      </c>
      <c r="G90" s="16">
        <f>IFERROR(VLOOKUP(A:A,Assessment_Analysis_Ready!A:D,4,FALSE),"Not Available")</f>
        <v/>
      </c>
      <c r="H90" s="14">
        <f>IFERROR(VLOOKUP(A:A,Assessment_Analysis_Ready!A:E,5,FALSE),"Not Available")</f>
        <v/>
      </c>
      <c r="I90" s="14">
        <f>IFERROR(VLOOKUP(A:A,Assessment_Analysis_Ready!A:F,6,FALSE),"Not Available")</f>
        <v/>
      </c>
      <c r="J90" s="14">
        <f>IFERROR(VLOOKUP(A:A,Discipline_Analysis_Ready!A:C,3,FALSE),"Not Available")</f>
        <v/>
      </c>
      <c r="K90" s="14">
        <f>IFERROR(VLOOKUP(A:A,Discipline_Analysis_Ready!A:D,4,FALSE),"Not Available")</f>
        <v/>
      </c>
    </row>
    <row r="91">
      <c r="A91" s="15" t="inlineStr">
        <is>
          <t>S1092</t>
        </is>
      </c>
      <c r="B91" s="14">
        <f>VLOOKUP(A91,Student_Analysis_Ready!A:D,4,FALSE)</f>
        <v/>
      </c>
      <c r="C91" s="14">
        <f>VLOOKUP(A:A,Student_Analysis_Ready!A:F,6,FALSE)</f>
        <v/>
      </c>
      <c r="D91" s="14">
        <f>VLOOKUP(A:A,Student_Analysis_Ready!A:E,5,FALSE)</f>
        <v/>
      </c>
      <c r="E91" s="14">
        <f>IFERROR(VLOOKUP(A:A,Attendence_Analysis_Ready!A:F,6,FALSE),"0")</f>
        <v/>
      </c>
      <c r="F91" s="14">
        <f>IFERROR(VLOOKUP(A:A,Assessment_Analysis_Ready!A:C,3,FALSE),"Not Available")</f>
        <v/>
      </c>
      <c r="G91" s="16">
        <f>IFERROR(VLOOKUP(A:A,Assessment_Analysis_Ready!A:D,4,FALSE),"Not Available")</f>
        <v/>
      </c>
      <c r="H91" s="14">
        <f>IFERROR(VLOOKUP(A:A,Assessment_Analysis_Ready!A:E,5,FALSE),"Not Available")</f>
        <v/>
      </c>
      <c r="I91" s="14">
        <f>IFERROR(VLOOKUP(A:A,Assessment_Analysis_Ready!A:F,6,FALSE),"Not Available")</f>
        <v/>
      </c>
      <c r="J91" s="14">
        <f>IFERROR(VLOOKUP(A:A,Discipline_Analysis_Ready!A:C,3,FALSE),"Not Available")</f>
        <v/>
      </c>
      <c r="K91" s="14">
        <f>IFERROR(VLOOKUP(A:A,Discipline_Analysis_Ready!A:D,4,FALSE),"Not Available")</f>
        <v/>
      </c>
    </row>
    <row r="92">
      <c r="A92" s="15" t="inlineStr">
        <is>
          <t>S1093</t>
        </is>
      </c>
      <c r="B92" s="14">
        <f>VLOOKUP(A92,Student_Analysis_Ready!A:D,4,FALSE)</f>
        <v/>
      </c>
      <c r="C92" s="14">
        <f>VLOOKUP(A:A,Student_Analysis_Ready!A:F,6,FALSE)</f>
        <v/>
      </c>
      <c r="D92" s="14">
        <f>VLOOKUP(A:A,Student_Analysis_Ready!A:E,5,FALSE)</f>
        <v/>
      </c>
      <c r="E92" s="14">
        <f>IFERROR(VLOOKUP(A:A,Attendence_Analysis_Ready!A:F,6,FALSE),"0")</f>
        <v/>
      </c>
      <c r="F92" s="14">
        <f>IFERROR(VLOOKUP(A:A,Assessment_Analysis_Ready!A:C,3,FALSE),"Not Available")</f>
        <v/>
      </c>
      <c r="G92" s="16">
        <f>IFERROR(VLOOKUP(A:A,Assessment_Analysis_Ready!A:D,4,FALSE),"Not Available")</f>
        <v/>
      </c>
      <c r="H92" s="14">
        <f>IFERROR(VLOOKUP(A:A,Assessment_Analysis_Ready!A:E,5,FALSE),"Not Available")</f>
        <v/>
      </c>
      <c r="I92" s="14">
        <f>IFERROR(VLOOKUP(A:A,Assessment_Analysis_Ready!A:F,6,FALSE),"Not Available")</f>
        <v/>
      </c>
      <c r="J92" s="14">
        <f>IFERROR(VLOOKUP(A:A,Discipline_Analysis_Ready!A:C,3,FALSE),"Not Available")</f>
        <v/>
      </c>
      <c r="K92" s="14">
        <f>IFERROR(VLOOKUP(A:A,Discipline_Analysis_Ready!A:D,4,FALSE),"Not Available")</f>
        <v/>
      </c>
    </row>
    <row r="93">
      <c r="A93" s="15" t="inlineStr">
        <is>
          <t>S1094</t>
        </is>
      </c>
      <c r="B93" s="14">
        <f>VLOOKUP(A93,Student_Analysis_Ready!A:D,4,FALSE)</f>
        <v/>
      </c>
      <c r="C93" s="14">
        <f>VLOOKUP(A:A,Student_Analysis_Ready!A:F,6,FALSE)</f>
        <v/>
      </c>
      <c r="D93" s="14">
        <f>VLOOKUP(A:A,Student_Analysis_Ready!A:E,5,FALSE)</f>
        <v/>
      </c>
      <c r="E93" s="14">
        <f>IFERROR(VLOOKUP(A:A,Attendence_Analysis_Ready!A:F,6,FALSE),"0")</f>
        <v/>
      </c>
      <c r="F93" s="14">
        <f>IFERROR(VLOOKUP(A:A,Assessment_Analysis_Ready!A:C,3,FALSE),"Not Available")</f>
        <v/>
      </c>
      <c r="G93" s="16">
        <f>IFERROR(VLOOKUP(A:A,Assessment_Analysis_Ready!A:D,4,FALSE),"Not Available")</f>
        <v/>
      </c>
      <c r="H93" s="14">
        <f>IFERROR(VLOOKUP(A:A,Assessment_Analysis_Ready!A:E,5,FALSE),"Not Available")</f>
        <v/>
      </c>
      <c r="I93" s="14">
        <f>IFERROR(VLOOKUP(A:A,Assessment_Analysis_Ready!A:F,6,FALSE),"Not Available")</f>
        <v/>
      </c>
      <c r="J93" s="14">
        <f>IFERROR(VLOOKUP(A:A,Discipline_Analysis_Ready!A:C,3,FALSE),"Not Available")</f>
        <v/>
      </c>
      <c r="K93" s="14">
        <f>IFERROR(VLOOKUP(A:A,Discipline_Analysis_Ready!A:D,4,FALSE),"Not Available")</f>
        <v/>
      </c>
    </row>
    <row r="94">
      <c r="A94" s="15" t="inlineStr">
        <is>
          <t>S1095</t>
        </is>
      </c>
      <c r="B94" s="14">
        <f>VLOOKUP(A94,Student_Analysis_Ready!A:D,4,FALSE)</f>
        <v/>
      </c>
      <c r="C94" s="14">
        <f>VLOOKUP(A:A,Student_Analysis_Ready!A:F,6,FALSE)</f>
        <v/>
      </c>
      <c r="D94" s="14">
        <f>VLOOKUP(A:A,Student_Analysis_Ready!A:E,5,FALSE)</f>
        <v/>
      </c>
      <c r="E94" s="14">
        <f>IFERROR(VLOOKUP(A:A,Attendence_Analysis_Ready!A:F,6,FALSE),"0")</f>
        <v/>
      </c>
      <c r="F94" s="14">
        <f>IFERROR(VLOOKUP(A:A,Assessment_Analysis_Ready!A:C,3,FALSE),"Not Available")</f>
        <v/>
      </c>
      <c r="G94" s="16">
        <f>IFERROR(VLOOKUP(A:A,Assessment_Analysis_Ready!A:D,4,FALSE),"Not Available")</f>
        <v/>
      </c>
      <c r="H94" s="14">
        <f>IFERROR(VLOOKUP(A:A,Assessment_Analysis_Ready!A:E,5,FALSE),"Not Available")</f>
        <v/>
      </c>
      <c r="I94" s="14">
        <f>IFERROR(VLOOKUP(A:A,Assessment_Analysis_Ready!A:F,6,FALSE),"Not Available")</f>
        <v/>
      </c>
      <c r="J94" s="14">
        <f>IFERROR(VLOOKUP(A:A,Discipline_Analysis_Ready!A:C,3,FALSE),"Not Available")</f>
        <v/>
      </c>
      <c r="K94" s="14">
        <f>IFERROR(VLOOKUP(A:A,Discipline_Analysis_Ready!A:D,4,FALSE),"Not Available")</f>
        <v/>
      </c>
    </row>
    <row r="95">
      <c r="A95" s="15" t="inlineStr">
        <is>
          <t>S1096</t>
        </is>
      </c>
      <c r="B95" s="14">
        <f>VLOOKUP(A95,Student_Analysis_Ready!A:D,4,FALSE)</f>
        <v/>
      </c>
      <c r="C95" s="14">
        <f>VLOOKUP(A:A,Student_Analysis_Ready!A:F,6,FALSE)</f>
        <v/>
      </c>
      <c r="D95" s="14">
        <f>VLOOKUP(A:A,Student_Analysis_Ready!A:E,5,FALSE)</f>
        <v/>
      </c>
      <c r="E95" s="14">
        <f>IFERROR(VLOOKUP(A:A,Attendence_Analysis_Ready!A:F,6,FALSE),"0")</f>
        <v/>
      </c>
      <c r="F95" s="14">
        <f>IFERROR(VLOOKUP(A:A,Assessment_Analysis_Ready!A:C,3,FALSE),"Not Available")</f>
        <v/>
      </c>
      <c r="G95" s="16">
        <f>IFERROR(VLOOKUP(A:A,Assessment_Analysis_Ready!A:D,4,FALSE),"Not Available")</f>
        <v/>
      </c>
      <c r="H95" s="14">
        <f>IFERROR(VLOOKUP(A:A,Assessment_Analysis_Ready!A:E,5,FALSE),"Not Available")</f>
        <v/>
      </c>
      <c r="I95" s="14">
        <f>IFERROR(VLOOKUP(A:A,Assessment_Analysis_Ready!A:F,6,FALSE),"Not Available")</f>
        <v/>
      </c>
      <c r="J95" s="14">
        <f>IFERROR(VLOOKUP(A:A,Discipline_Analysis_Ready!A:C,3,FALSE),"Not Available")</f>
        <v/>
      </c>
      <c r="K95" s="14">
        <f>IFERROR(VLOOKUP(A:A,Discipline_Analysis_Ready!A:D,4,FALSE),"Not Available")</f>
        <v/>
      </c>
    </row>
    <row r="96">
      <c r="A96" s="15" t="inlineStr">
        <is>
          <t>S1097</t>
        </is>
      </c>
      <c r="B96" s="14">
        <f>VLOOKUP(A96,Student_Analysis_Ready!A:D,4,FALSE)</f>
        <v/>
      </c>
      <c r="C96" s="14">
        <f>VLOOKUP(A:A,Student_Analysis_Ready!A:F,6,FALSE)</f>
        <v/>
      </c>
      <c r="D96" s="14">
        <f>VLOOKUP(A:A,Student_Analysis_Ready!A:E,5,FALSE)</f>
        <v/>
      </c>
      <c r="E96" s="14">
        <f>IFERROR(VLOOKUP(A:A,Attendence_Analysis_Ready!A:F,6,FALSE),"0")</f>
        <v/>
      </c>
      <c r="F96" s="14">
        <f>IFERROR(VLOOKUP(A:A,Assessment_Analysis_Ready!A:C,3,FALSE),"Not Available")</f>
        <v/>
      </c>
      <c r="G96" s="16">
        <f>IFERROR(VLOOKUP(A:A,Assessment_Analysis_Ready!A:D,4,FALSE),"Not Available")</f>
        <v/>
      </c>
      <c r="H96" s="14">
        <f>IFERROR(VLOOKUP(A:A,Assessment_Analysis_Ready!A:E,5,FALSE),"Not Available")</f>
        <v/>
      </c>
      <c r="I96" s="14">
        <f>IFERROR(VLOOKUP(A:A,Assessment_Analysis_Ready!A:F,6,FALSE),"Not Available")</f>
        <v/>
      </c>
      <c r="J96" s="14">
        <f>IFERROR(VLOOKUP(A:A,Discipline_Analysis_Ready!A:C,3,FALSE),"Not Available")</f>
        <v/>
      </c>
      <c r="K96" s="14">
        <f>IFERROR(VLOOKUP(A:A,Discipline_Analysis_Ready!A:D,4,FALSE),"Not Available")</f>
        <v/>
      </c>
    </row>
    <row r="97">
      <c r="A97" s="15" t="inlineStr">
        <is>
          <t>S1098</t>
        </is>
      </c>
      <c r="B97" s="14">
        <f>VLOOKUP(A97,Student_Analysis_Ready!A:D,4,FALSE)</f>
        <v/>
      </c>
      <c r="C97" s="14">
        <f>VLOOKUP(A:A,Student_Analysis_Ready!A:F,6,FALSE)</f>
        <v/>
      </c>
      <c r="D97" s="14">
        <f>VLOOKUP(A:A,Student_Analysis_Ready!A:E,5,FALSE)</f>
        <v/>
      </c>
      <c r="E97" s="14">
        <f>IFERROR(VLOOKUP(A:A,Attendence_Analysis_Ready!A:F,6,FALSE),"0")</f>
        <v/>
      </c>
      <c r="F97" s="14">
        <f>IFERROR(VLOOKUP(A:A,Assessment_Analysis_Ready!A:C,3,FALSE),"Not Available")</f>
        <v/>
      </c>
      <c r="G97" s="16">
        <f>IFERROR(VLOOKUP(A:A,Assessment_Analysis_Ready!A:D,4,FALSE),"Not Available")</f>
        <v/>
      </c>
      <c r="H97" s="14">
        <f>IFERROR(VLOOKUP(A:A,Assessment_Analysis_Ready!A:E,5,FALSE),"Not Available")</f>
        <v/>
      </c>
      <c r="I97" s="14">
        <f>IFERROR(VLOOKUP(A:A,Assessment_Analysis_Ready!A:F,6,FALSE),"Not Available")</f>
        <v/>
      </c>
      <c r="J97" s="14">
        <f>IFERROR(VLOOKUP(A:A,Discipline_Analysis_Ready!A:C,3,FALSE),"Not Available")</f>
        <v/>
      </c>
      <c r="K97" s="14">
        <f>IFERROR(VLOOKUP(A:A,Discipline_Analysis_Ready!A:D,4,FALSE),"Not Available")</f>
        <v/>
      </c>
    </row>
    <row r="98">
      <c r="A98" s="15" t="inlineStr">
        <is>
          <t>S1099</t>
        </is>
      </c>
      <c r="B98" s="14">
        <f>VLOOKUP(A98,Student_Analysis_Ready!A:D,4,FALSE)</f>
        <v/>
      </c>
      <c r="C98" s="14">
        <f>VLOOKUP(A:A,Student_Analysis_Ready!A:F,6,FALSE)</f>
        <v/>
      </c>
      <c r="D98" s="14">
        <f>VLOOKUP(A:A,Student_Analysis_Ready!A:E,5,FALSE)</f>
        <v/>
      </c>
      <c r="E98" s="14">
        <f>IFERROR(VLOOKUP(A:A,Attendence_Analysis_Ready!A:F,6,FALSE),"0")</f>
        <v/>
      </c>
      <c r="F98" s="14">
        <f>IFERROR(VLOOKUP(A:A,Assessment_Analysis_Ready!A:C,3,FALSE),"Not Available")</f>
        <v/>
      </c>
      <c r="G98" s="16">
        <f>IFERROR(VLOOKUP(A:A,Assessment_Analysis_Ready!A:D,4,FALSE),"Not Available")</f>
        <v/>
      </c>
      <c r="H98" s="14">
        <f>IFERROR(VLOOKUP(A:A,Assessment_Analysis_Ready!A:E,5,FALSE),"Not Available")</f>
        <v/>
      </c>
      <c r="I98" s="14">
        <f>IFERROR(VLOOKUP(A:A,Assessment_Analysis_Ready!A:F,6,FALSE),"Not Available")</f>
        <v/>
      </c>
      <c r="J98" s="14">
        <f>IFERROR(VLOOKUP(A:A,Discipline_Analysis_Ready!A:C,3,FALSE),"Not Available")</f>
        <v/>
      </c>
      <c r="K98" s="14">
        <f>IFERROR(VLOOKUP(A:A,Discipline_Analysis_Ready!A:D,4,FALSE),"Not Available")</f>
        <v/>
      </c>
    </row>
    <row r="99">
      <c r="A99" s="15" t="inlineStr">
        <is>
          <t>S1100</t>
        </is>
      </c>
      <c r="B99" s="14">
        <f>VLOOKUP(A99,Student_Analysis_Ready!A:D,4,FALSE)</f>
        <v/>
      </c>
      <c r="C99" s="14">
        <f>VLOOKUP(A:A,Student_Analysis_Ready!A:F,6,FALSE)</f>
        <v/>
      </c>
      <c r="D99" s="14">
        <f>VLOOKUP(A:A,Student_Analysis_Ready!A:E,5,FALSE)</f>
        <v/>
      </c>
      <c r="E99" s="14">
        <f>IFERROR(VLOOKUP(A:A,Attendence_Analysis_Ready!A:F,6,FALSE),"0")</f>
        <v/>
      </c>
      <c r="F99" s="14">
        <f>IFERROR(VLOOKUP(A:A,Assessment_Analysis_Ready!A:C,3,FALSE),"Not Available")</f>
        <v/>
      </c>
      <c r="G99" s="16">
        <f>IFERROR(VLOOKUP(A:A,Assessment_Analysis_Ready!A:D,4,FALSE),"Not Available")</f>
        <v/>
      </c>
      <c r="H99" s="14">
        <f>IFERROR(VLOOKUP(A:A,Assessment_Analysis_Ready!A:E,5,FALSE),"Not Available")</f>
        <v/>
      </c>
      <c r="I99" s="14">
        <f>IFERROR(VLOOKUP(A:A,Assessment_Analysis_Ready!A:F,6,FALSE),"Not Available")</f>
        <v/>
      </c>
      <c r="J99" s="14">
        <f>IFERROR(VLOOKUP(A:A,Discipline_Analysis_Ready!A:C,3,FALSE),"Not Available")</f>
        <v/>
      </c>
      <c r="K99" s="14">
        <f>IFERROR(VLOOKUP(A:A,Discipline_Analysis_Ready!A:D,4,FALSE),"Not Available")</f>
        <v/>
      </c>
    </row>
    <row r="100">
      <c r="A100" s="15" t="inlineStr">
        <is>
          <t>S1101</t>
        </is>
      </c>
      <c r="B100" s="14">
        <f>VLOOKUP(A100,Student_Analysis_Ready!A:D,4,FALSE)</f>
        <v/>
      </c>
      <c r="C100" s="14">
        <f>VLOOKUP(A:A,Student_Analysis_Ready!A:F,6,FALSE)</f>
        <v/>
      </c>
      <c r="D100" s="14">
        <f>VLOOKUP(A:A,Student_Analysis_Ready!A:E,5,FALSE)</f>
        <v/>
      </c>
      <c r="E100" s="14">
        <f>IFERROR(VLOOKUP(A:A,Attendence_Analysis_Ready!A:F,6,FALSE),"0")</f>
        <v/>
      </c>
      <c r="F100" s="14">
        <f>IFERROR(VLOOKUP(A:A,Assessment_Analysis_Ready!A:C,3,FALSE),"Not Available")</f>
        <v/>
      </c>
      <c r="G100" s="16">
        <f>IFERROR(VLOOKUP(A:A,Assessment_Analysis_Ready!A:D,4,FALSE),"Not Available")</f>
        <v/>
      </c>
      <c r="H100" s="14">
        <f>IFERROR(VLOOKUP(A:A,Assessment_Analysis_Ready!A:E,5,FALSE),"Not Available")</f>
        <v/>
      </c>
      <c r="I100" s="14">
        <f>IFERROR(VLOOKUP(A:A,Assessment_Analysis_Ready!A:F,6,FALSE),"Not Available")</f>
        <v/>
      </c>
      <c r="J100" s="14">
        <f>IFERROR(VLOOKUP(A:A,Discipline_Analysis_Ready!A:C,3,FALSE),"Not Available")</f>
        <v/>
      </c>
      <c r="K100" s="14">
        <f>IFERROR(VLOOKUP(A:A,Discipline_Analysis_Ready!A:D,4,FALSE),"Not Available")</f>
        <v/>
      </c>
    </row>
    <row r="101">
      <c r="A101" s="15" t="inlineStr">
        <is>
          <t>S1102</t>
        </is>
      </c>
      <c r="B101" s="14">
        <f>VLOOKUP(A101,Student_Analysis_Ready!A:D,4,FALSE)</f>
        <v/>
      </c>
      <c r="C101" s="14">
        <f>VLOOKUP(A:A,Student_Analysis_Ready!A:F,6,FALSE)</f>
        <v/>
      </c>
      <c r="D101" s="14">
        <f>VLOOKUP(A:A,Student_Analysis_Ready!A:E,5,FALSE)</f>
        <v/>
      </c>
      <c r="E101" s="14">
        <f>IFERROR(VLOOKUP(A:A,Attendence_Analysis_Ready!A:F,6,FALSE),"0")</f>
        <v/>
      </c>
      <c r="F101" s="14">
        <f>IFERROR(VLOOKUP(A:A,Assessment_Analysis_Ready!A:C,3,FALSE),"Not Available")</f>
        <v/>
      </c>
      <c r="G101" s="16">
        <f>IFERROR(VLOOKUP(A:A,Assessment_Analysis_Ready!A:D,4,FALSE),"Not Available")</f>
        <v/>
      </c>
      <c r="H101" s="14">
        <f>IFERROR(VLOOKUP(A:A,Assessment_Analysis_Ready!A:E,5,FALSE),"Not Available")</f>
        <v/>
      </c>
      <c r="I101" s="14">
        <f>IFERROR(VLOOKUP(A:A,Assessment_Analysis_Ready!A:F,6,FALSE),"Not Available")</f>
        <v/>
      </c>
      <c r="J101" s="14">
        <f>IFERROR(VLOOKUP(A:A,Discipline_Analysis_Ready!A:C,3,FALSE),"Not Available")</f>
        <v/>
      </c>
      <c r="K101" s="14">
        <f>IFERROR(VLOOKUP(A:A,Discipline_Analysis_Ready!A:D,4,FALSE),"Not Available")</f>
        <v/>
      </c>
    </row>
    <row r="102">
      <c r="A102" s="15" t="inlineStr">
        <is>
          <t>S1103</t>
        </is>
      </c>
      <c r="B102" s="14">
        <f>VLOOKUP(A102,Student_Analysis_Ready!A:D,4,FALSE)</f>
        <v/>
      </c>
      <c r="C102" s="14">
        <f>VLOOKUP(A:A,Student_Analysis_Ready!A:F,6,FALSE)</f>
        <v/>
      </c>
      <c r="D102" s="14">
        <f>VLOOKUP(A:A,Student_Analysis_Ready!A:E,5,FALSE)</f>
        <v/>
      </c>
      <c r="E102" s="14">
        <f>IFERROR(VLOOKUP(A:A,Attendence_Analysis_Ready!A:F,6,FALSE),"0")</f>
        <v/>
      </c>
      <c r="F102" s="14">
        <f>IFERROR(VLOOKUP(A:A,Assessment_Analysis_Ready!A:C,3,FALSE),"Not Available")</f>
        <v/>
      </c>
      <c r="G102" s="16">
        <f>IFERROR(VLOOKUP(A:A,Assessment_Analysis_Ready!A:D,4,FALSE),"Not Available")</f>
        <v/>
      </c>
      <c r="H102" s="14">
        <f>IFERROR(VLOOKUP(A:A,Assessment_Analysis_Ready!A:E,5,FALSE),"Not Available")</f>
        <v/>
      </c>
      <c r="I102" s="14">
        <f>IFERROR(VLOOKUP(A:A,Assessment_Analysis_Ready!A:F,6,FALSE),"Not Available")</f>
        <v/>
      </c>
      <c r="J102" s="14">
        <f>IFERROR(VLOOKUP(A:A,Discipline_Analysis_Ready!A:C,3,FALSE),"Not Available")</f>
        <v/>
      </c>
      <c r="K102" s="14">
        <f>IFERROR(VLOOKUP(A:A,Discipline_Analysis_Ready!A:D,4,FALSE),"Not Available")</f>
        <v/>
      </c>
    </row>
    <row r="103">
      <c r="A103" s="15" t="inlineStr">
        <is>
          <t>S1104</t>
        </is>
      </c>
      <c r="B103" s="14">
        <f>VLOOKUP(A103,Student_Analysis_Ready!A:D,4,FALSE)</f>
        <v/>
      </c>
      <c r="C103" s="14">
        <f>VLOOKUP(A:A,Student_Analysis_Ready!A:F,6,FALSE)</f>
        <v/>
      </c>
      <c r="D103" s="14">
        <f>VLOOKUP(A:A,Student_Analysis_Ready!A:E,5,FALSE)</f>
        <v/>
      </c>
      <c r="E103" s="14">
        <f>IFERROR(VLOOKUP(A:A,Attendence_Analysis_Ready!A:F,6,FALSE),"0")</f>
        <v/>
      </c>
      <c r="F103" s="14">
        <f>IFERROR(VLOOKUP(A:A,Assessment_Analysis_Ready!A:C,3,FALSE),"Not Available")</f>
        <v/>
      </c>
      <c r="G103" s="16">
        <f>IFERROR(VLOOKUP(A:A,Assessment_Analysis_Ready!A:D,4,FALSE),"Not Available")</f>
        <v/>
      </c>
      <c r="H103" s="14">
        <f>IFERROR(VLOOKUP(A:A,Assessment_Analysis_Ready!A:E,5,FALSE),"Not Available")</f>
        <v/>
      </c>
      <c r="I103" s="14">
        <f>IFERROR(VLOOKUP(A:A,Assessment_Analysis_Ready!A:F,6,FALSE),"Not Available")</f>
        <v/>
      </c>
      <c r="J103" s="14">
        <f>IFERROR(VLOOKUP(A:A,Discipline_Analysis_Ready!A:C,3,FALSE),"Not Available")</f>
        <v/>
      </c>
      <c r="K103" s="14">
        <f>IFERROR(VLOOKUP(A:A,Discipline_Analysis_Ready!A:D,4,FALSE),"Not Available")</f>
        <v/>
      </c>
    </row>
    <row r="104">
      <c r="A104" s="15" t="inlineStr">
        <is>
          <t>S1105</t>
        </is>
      </c>
      <c r="B104" s="14">
        <f>VLOOKUP(A104,Student_Analysis_Ready!A:D,4,FALSE)</f>
        <v/>
      </c>
      <c r="C104" s="14">
        <f>VLOOKUP(A:A,Student_Analysis_Ready!A:F,6,FALSE)</f>
        <v/>
      </c>
      <c r="D104" s="14">
        <f>VLOOKUP(A:A,Student_Analysis_Ready!A:E,5,FALSE)</f>
        <v/>
      </c>
      <c r="E104" s="14">
        <f>IFERROR(VLOOKUP(A:A,Attendence_Analysis_Ready!A:F,6,FALSE),"0")</f>
        <v/>
      </c>
      <c r="F104" s="14">
        <f>IFERROR(VLOOKUP(A:A,Assessment_Analysis_Ready!A:C,3,FALSE),"Not Available")</f>
        <v/>
      </c>
      <c r="G104" s="16">
        <f>IFERROR(VLOOKUP(A:A,Assessment_Analysis_Ready!A:D,4,FALSE),"Not Available")</f>
        <v/>
      </c>
      <c r="H104" s="14">
        <f>IFERROR(VLOOKUP(A:A,Assessment_Analysis_Ready!A:E,5,FALSE),"Not Available")</f>
        <v/>
      </c>
      <c r="I104" s="14">
        <f>IFERROR(VLOOKUP(A:A,Assessment_Analysis_Ready!A:F,6,FALSE),"Not Available")</f>
        <v/>
      </c>
      <c r="J104" s="14">
        <f>IFERROR(VLOOKUP(A:A,Discipline_Analysis_Ready!A:C,3,FALSE),"Not Available")</f>
        <v/>
      </c>
      <c r="K104" s="14">
        <f>IFERROR(VLOOKUP(A:A,Discipline_Analysis_Ready!A:D,4,FALSE),"Not Available")</f>
        <v/>
      </c>
    </row>
    <row r="105">
      <c r="A105" s="15" t="inlineStr">
        <is>
          <t>S1106</t>
        </is>
      </c>
      <c r="B105" s="14">
        <f>VLOOKUP(A105,Student_Analysis_Ready!A:D,4,FALSE)</f>
        <v/>
      </c>
      <c r="C105" s="14">
        <f>VLOOKUP(A:A,Student_Analysis_Ready!A:F,6,FALSE)</f>
        <v/>
      </c>
      <c r="D105" s="14">
        <f>VLOOKUP(A:A,Student_Analysis_Ready!A:E,5,FALSE)</f>
        <v/>
      </c>
      <c r="E105" s="14">
        <f>IFERROR(VLOOKUP(A:A,Attendence_Analysis_Ready!A:F,6,FALSE),"0")</f>
        <v/>
      </c>
      <c r="F105" s="14">
        <f>IFERROR(VLOOKUP(A:A,Assessment_Analysis_Ready!A:C,3,FALSE),"Not Available")</f>
        <v/>
      </c>
      <c r="G105" s="16">
        <f>IFERROR(VLOOKUP(A:A,Assessment_Analysis_Ready!A:D,4,FALSE),"Not Available")</f>
        <v/>
      </c>
      <c r="H105" s="14">
        <f>IFERROR(VLOOKUP(A:A,Assessment_Analysis_Ready!A:E,5,FALSE),"Not Available")</f>
        <v/>
      </c>
      <c r="I105" s="14">
        <f>IFERROR(VLOOKUP(A:A,Assessment_Analysis_Ready!A:F,6,FALSE),"Not Available")</f>
        <v/>
      </c>
      <c r="J105" s="14">
        <f>IFERROR(VLOOKUP(A:A,Discipline_Analysis_Ready!A:C,3,FALSE),"Not Available")</f>
        <v/>
      </c>
      <c r="K105" s="14">
        <f>IFERROR(VLOOKUP(A:A,Discipline_Analysis_Ready!A:D,4,FALSE),"Not Available")</f>
        <v/>
      </c>
    </row>
    <row r="106">
      <c r="A106" s="15" t="inlineStr">
        <is>
          <t>S1107</t>
        </is>
      </c>
      <c r="B106" s="14">
        <f>VLOOKUP(A106,Student_Analysis_Ready!A:D,4,FALSE)</f>
        <v/>
      </c>
      <c r="C106" s="14">
        <f>VLOOKUP(A:A,Student_Analysis_Ready!A:F,6,FALSE)</f>
        <v/>
      </c>
      <c r="D106" s="14">
        <f>VLOOKUP(A:A,Student_Analysis_Ready!A:E,5,FALSE)</f>
        <v/>
      </c>
      <c r="E106" s="14">
        <f>IFERROR(VLOOKUP(A:A,Attendence_Analysis_Ready!A:F,6,FALSE),"0")</f>
        <v/>
      </c>
      <c r="F106" s="14">
        <f>IFERROR(VLOOKUP(A:A,Assessment_Analysis_Ready!A:C,3,FALSE),"Not Available")</f>
        <v/>
      </c>
      <c r="G106" s="16">
        <f>IFERROR(VLOOKUP(A:A,Assessment_Analysis_Ready!A:D,4,FALSE),"Not Available")</f>
        <v/>
      </c>
      <c r="H106" s="14">
        <f>IFERROR(VLOOKUP(A:A,Assessment_Analysis_Ready!A:E,5,FALSE),"Not Available")</f>
        <v/>
      </c>
      <c r="I106" s="14">
        <f>IFERROR(VLOOKUP(A:A,Assessment_Analysis_Ready!A:F,6,FALSE),"Not Available")</f>
        <v/>
      </c>
      <c r="J106" s="14">
        <f>IFERROR(VLOOKUP(A:A,Discipline_Analysis_Ready!A:C,3,FALSE),"Not Available")</f>
        <v/>
      </c>
      <c r="K106" s="14">
        <f>IFERROR(VLOOKUP(A:A,Discipline_Analysis_Ready!A:D,4,FALSE),"Not Available")</f>
        <v/>
      </c>
    </row>
    <row r="107">
      <c r="A107" s="15" t="inlineStr">
        <is>
          <t>S1108</t>
        </is>
      </c>
      <c r="B107" s="14">
        <f>VLOOKUP(A107,Student_Analysis_Ready!A:D,4,FALSE)</f>
        <v/>
      </c>
      <c r="C107" s="14">
        <f>VLOOKUP(A:A,Student_Analysis_Ready!A:F,6,FALSE)</f>
        <v/>
      </c>
      <c r="D107" s="14">
        <f>VLOOKUP(A:A,Student_Analysis_Ready!A:E,5,FALSE)</f>
        <v/>
      </c>
      <c r="E107" s="14">
        <f>IFERROR(VLOOKUP(A:A,Attendence_Analysis_Ready!A:F,6,FALSE),"0")</f>
        <v/>
      </c>
      <c r="F107" s="14">
        <f>IFERROR(VLOOKUP(A:A,Assessment_Analysis_Ready!A:C,3,FALSE),"Not Available")</f>
        <v/>
      </c>
      <c r="G107" s="16">
        <f>IFERROR(VLOOKUP(A:A,Assessment_Analysis_Ready!A:D,4,FALSE),"Not Available")</f>
        <v/>
      </c>
      <c r="H107" s="14">
        <f>IFERROR(VLOOKUP(A:A,Assessment_Analysis_Ready!A:E,5,FALSE),"Not Available")</f>
        <v/>
      </c>
      <c r="I107" s="14">
        <f>IFERROR(VLOOKUP(A:A,Assessment_Analysis_Ready!A:F,6,FALSE),"Not Available")</f>
        <v/>
      </c>
      <c r="J107" s="14">
        <f>IFERROR(VLOOKUP(A:A,Discipline_Analysis_Ready!A:C,3,FALSE),"Not Available")</f>
        <v/>
      </c>
      <c r="K107" s="14">
        <f>IFERROR(VLOOKUP(A:A,Discipline_Analysis_Ready!A:D,4,FALSE),"Not Available")</f>
        <v/>
      </c>
    </row>
    <row r="108">
      <c r="A108" s="15" t="inlineStr">
        <is>
          <t>S1109</t>
        </is>
      </c>
      <c r="B108" s="14">
        <f>VLOOKUP(A108,Student_Analysis_Ready!A:D,4,FALSE)</f>
        <v/>
      </c>
      <c r="C108" s="14">
        <f>VLOOKUP(A:A,Student_Analysis_Ready!A:F,6,FALSE)</f>
        <v/>
      </c>
      <c r="D108" s="14">
        <f>VLOOKUP(A:A,Student_Analysis_Ready!A:E,5,FALSE)</f>
        <v/>
      </c>
      <c r="E108" s="14">
        <f>IFERROR(VLOOKUP(A:A,Attendence_Analysis_Ready!A:F,6,FALSE),"0")</f>
        <v/>
      </c>
      <c r="F108" s="14">
        <f>IFERROR(VLOOKUP(A:A,Assessment_Analysis_Ready!A:C,3,FALSE),"Not Available")</f>
        <v/>
      </c>
      <c r="G108" s="16">
        <f>IFERROR(VLOOKUP(A:A,Assessment_Analysis_Ready!A:D,4,FALSE),"Not Available")</f>
        <v/>
      </c>
      <c r="H108" s="14">
        <f>IFERROR(VLOOKUP(A:A,Assessment_Analysis_Ready!A:E,5,FALSE),"Not Available")</f>
        <v/>
      </c>
      <c r="I108" s="14">
        <f>IFERROR(VLOOKUP(A:A,Assessment_Analysis_Ready!A:F,6,FALSE),"Not Available")</f>
        <v/>
      </c>
      <c r="J108" s="14">
        <f>IFERROR(VLOOKUP(A:A,Discipline_Analysis_Ready!A:C,3,FALSE),"Not Available")</f>
        <v/>
      </c>
      <c r="K108" s="14">
        <f>IFERROR(VLOOKUP(A:A,Discipline_Analysis_Ready!A:D,4,FALSE),"Not Available")</f>
        <v/>
      </c>
    </row>
    <row r="109">
      <c r="A109" s="15" t="inlineStr">
        <is>
          <t>S1110</t>
        </is>
      </c>
      <c r="B109" s="14">
        <f>VLOOKUP(A109,Student_Analysis_Ready!A:D,4,FALSE)</f>
        <v/>
      </c>
      <c r="C109" s="14">
        <f>VLOOKUP(A:A,Student_Analysis_Ready!A:F,6,FALSE)</f>
        <v/>
      </c>
      <c r="D109" s="14">
        <f>VLOOKUP(A:A,Student_Analysis_Ready!A:E,5,FALSE)</f>
        <v/>
      </c>
      <c r="E109" s="14">
        <f>IFERROR(VLOOKUP(A:A,Attendence_Analysis_Ready!A:F,6,FALSE),"0")</f>
        <v/>
      </c>
      <c r="F109" s="14">
        <f>IFERROR(VLOOKUP(A:A,Assessment_Analysis_Ready!A:C,3,FALSE),"Not Available")</f>
        <v/>
      </c>
      <c r="G109" s="16">
        <f>IFERROR(VLOOKUP(A:A,Assessment_Analysis_Ready!A:D,4,FALSE),"Not Available")</f>
        <v/>
      </c>
      <c r="H109" s="14">
        <f>IFERROR(VLOOKUP(A:A,Assessment_Analysis_Ready!A:E,5,FALSE),"Not Available")</f>
        <v/>
      </c>
      <c r="I109" s="14">
        <f>IFERROR(VLOOKUP(A:A,Assessment_Analysis_Ready!A:F,6,FALSE),"Not Available")</f>
        <v/>
      </c>
      <c r="J109" s="14">
        <f>IFERROR(VLOOKUP(A:A,Discipline_Analysis_Ready!A:C,3,FALSE),"Not Available")</f>
        <v/>
      </c>
      <c r="K109" s="14">
        <f>IFERROR(VLOOKUP(A:A,Discipline_Analysis_Ready!A:D,4,FALSE),"Not Available")</f>
        <v/>
      </c>
    </row>
    <row r="110">
      <c r="A110" s="15" t="inlineStr">
        <is>
          <t>S1111</t>
        </is>
      </c>
      <c r="B110" s="14">
        <f>VLOOKUP(A110,Student_Analysis_Ready!A:D,4,FALSE)</f>
        <v/>
      </c>
      <c r="C110" s="14">
        <f>VLOOKUP(A:A,Student_Analysis_Ready!A:F,6,FALSE)</f>
        <v/>
      </c>
      <c r="D110" s="14">
        <f>VLOOKUP(A:A,Student_Analysis_Ready!A:E,5,FALSE)</f>
        <v/>
      </c>
      <c r="E110" s="14">
        <f>IFERROR(VLOOKUP(A:A,Attendence_Analysis_Ready!A:F,6,FALSE),"0")</f>
        <v/>
      </c>
      <c r="F110" s="14">
        <f>IFERROR(VLOOKUP(A:A,Assessment_Analysis_Ready!A:C,3,FALSE),"Not Available")</f>
        <v/>
      </c>
      <c r="G110" s="16">
        <f>IFERROR(VLOOKUP(A:A,Assessment_Analysis_Ready!A:D,4,FALSE),"Not Available")</f>
        <v/>
      </c>
      <c r="H110" s="14">
        <f>IFERROR(VLOOKUP(A:A,Assessment_Analysis_Ready!A:E,5,FALSE),"Not Available")</f>
        <v/>
      </c>
      <c r="I110" s="14">
        <f>IFERROR(VLOOKUP(A:A,Assessment_Analysis_Ready!A:F,6,FALSE),"Not Available")</f>
        <v/>
      </c>
      <c r="J110" s="14">
        <f>IFERROR(VLOOKUP(A:A,Discipline_Analysis_Ready!A:C,3,FALSE),"Not Available")</f>
        <v/>
      </c>
      <c r="K110" s="14">
        <f>IFERROR(VLOOKUP(A:A,Discipline_Analysis_Ready!A:D,4,FALSE),"Not Available")</f>
        <v/>
      </c>
    </row>
    <row r="111">
      <c r="A111" s="15" t="inlineStr">
        <is>
          <t>S1112</t>
        </is>
      </c>
      <c r="B111" s="14">
        <f>VLOOKUP(A111,Student_Analysis_Ready!A:D,4,FALSE)</f>
        <v/>
      </c>
      <c r="C111" s="14">
        <f>VLOOKUP(A:A,Student_Analysis_Ready!A:F,6,FALSE)</f>
        <v/>
      </c>
      <c r="D111" s="14">
        <f>VLOOKUP(A:A,Student_Analysis_Ready!A:E,5,FALSE)</f>
        <v/>
      </c>
      <c r="E111" s="14">
        <f>IFERROR(VLOOKUP(A:A,Attendence_Analysis_Ready!A:F,6,FALSE),"0")</f>
        <v/>
      </c>
      <c r="F111" s="14">
        <f>IFERROR(VLOOKUP(A:A,Assessment_Analysis_Ready!A:C,3,FALSE),"Not Available")</f>
        <v/>
      </c>
      <c r="G111" s="16">
        <f>IFERROR(VLOOKUP(A:A,Assessment_Analysis_Ready!A:D,4,FALSE),"Not Available")</f>
        <v/>
      </c>
      <c r="H111" s="14">
        <f>IFERROR(VLOOKUP(A:A,Assessment_Analysis_Ready!A:E,5,FALSE),"Not Available")</f>
        <v/>
      </c>
      <c r="I111" s="14">
        <f>IFERROR(VLOOKUP(A:A,Assessment_Analysis_Ready!A:F,6,FALSE),"Not Available")</f>
        <v/>
      </c>
      <c r="J111" s="14">
        <f>IFERROR(VLOOKUP(A:A,Discipline_Analysis_Ready!A:C,3,FALSE),"Not Available")</f>
        <v/>
      </c>
      <c r="K111" s="14">
        <f>IFERROR(VLOOKUP(A:A,Discipline_Analysis_Ready!A:D,4,FALSE),"Not Available")</f>
        <v/>
      </c>
    </row>
    <row r="112">
      <c r="A112" s="15" t="inlineStr">
        <is>
          <t>S1113</t>
        </is>
      </c>
      <c r="B112" s="14">
        <f>VLOOKUP(A112,Student_Analysis_Ready!A:D,4,FALSE)</f>
        <v/>
      </c>
      <c r="C112" s="14">
        <f>VLOOKUP(A:A,Student_Analysis_Ready!A:F,6,FALSE)</f>
        <v/>
      </c>
      <c r="D112" s="14">
        <f>VLOOKUP(A:A,Student_Analysis_Ready!A:E,5,FALSE)</f>
        <v/>
      </c>
      <c r="E112" s="14">
        <f>IFERROR(VLOOKUP(A:A,Attendence_Analysis_Ready!A:F,6,FALSE),"0")</f>
        <v/>
      </c>
      <c r="F112" s="14">
        <f>IFERROR(VLOOKUP(A:A,Assessment_Analysis_Ready!A:C,3,FALSE),"Not Available")</f>
        <v/>
      </c>
      <c r="G112" s="16">
        <f>IFERROR(VLOOKUP(A:A,Assessment_Analysis_Ready!A:D,4,FALSE),"Not Available")</f>
        <v/>
      </c>
      <c r="H112" s="14">
        <f>IFERROR(VLOOKUP(A:A,Assessment_Analysis_Ready!A:E,5,FALSE),"Not Available")</f>
        <v/>
      </c>
      <c r="I112" s="14">
        <f>IFERROR(VLOOKUP(A:A,Assessment_Analysis_Ready!A:F,6,FALSE),"Not Available")</f>
        <v/>
      </c>
      <c r="J112" s="14">
        <f>IFERROR(VLOOKUP(A:A,Discipline_Analysis_Ready!A:C,3,FALSE),"Not Available")</f>
        <v/>
      </c>
      <c r="K112" s="14">
        <f>IFERROR(VLOOKUP(A:A,Discipline_Analysis_Ready!A:D,4,FALSE),"Not Available")</f>
        <v/>
      </c>
    </row>
    <row r="113">
      <c r="A113" s="15" t="inlineStr">
        <is>
          <t>S1114</t>
        </is>
      </c>
      <c r="B113" s="14">
        <f>VLOOKUP(A113,Student_Analysis_Ready!A:D,4,FALSE)</f>
        <v/>
      </c>
      <c r="C113" s="14">
        <f>VLOOKUP(A:A,Student_Analysis_Ready!A:F,6,FALSE)</f>
        <v/>
      </c>
      <c r="D113" s="14">
        <f>VLOOKUP(A:A,Student_Analysis_Ready!A:E,5,FALSE)</f>
        <v/>
      </c>
      <c r="E113" s="14">
        <f>IFERROR(VLOOKUP(A:A,Attendence_Analysis_Ready!A:F,6,FALSE),"0")</f>
        <v/>
      </c>
      <c r="F113" s="14">
        <f>IFERROR(VLOOKUP(A:A,Assessment_Analysis_Ready!A:C,3,FALSE),"Not Available")</f>
        <v/>
      </c>
      <c r="G113" s="16">
        <f>IFERROR(VLOOKUP(A:A,Assessment_Analysis_Ready!A:D,4,FALSE),"Not Available")</f>
        <v/>
      </c>
      <c r="H113" s="14">
        <f>IFERROR(VLOOKUP(A:A,Assessment_Analysis_Ready!A:E,5,FALSE),"Not Available")</f>
        <v/>
      </c>
      <c r="I113" s="14">
        <f>IFERROR(VLOOKUP(A:A,Assessment_Analysis_Ready!A:F,6,FALSE),"Not Available")</f>
        <v/>
      </c>
      <c r="J113" s="14">
        <f>IFERROR(VLOOKUP(A:A,Discipline_Analysis_Ready!A:C,3,FALSE),"Not Available")</f>
        <v/>
      </c>
      <c r="K113" s="14">
        <f>IFERROR(VLOOKUP(A:A,Discipline_Analysis_Ready!A:D,4,FALSE),"Not Available")</f>
        <v/>
      </c>
    </row>
    <row r="114">
      <c r="A114" s="15" t="inlineStr">
        <is>
          <t>S1115</t>
        </is>
      </c>
      <c r="B114" s="14">
        <f>VLOOKUP(A114,Student_Analysis_Ready!A:D,4,FALSE)</f>
        <v/>
      </c>
      <c r="C114" s="14">
        <f>VLOOKUP(A:A,Student_Analysis_Ready!A:F,6,FALSE)</f>
        <v/>
      </c>
      <c r="D114" s="14">
        <f>VLOOKUP(A:A,Student_Analysis_Ready!A:E,5,FALSE)</f>
        <v/>
      </c>
      <c r="E114" s="14">
        <f>IFERROR(VLOOKUP(A:A,Attendence_Analysis_Ready!A:F,6,FALSE),"0")</f>
        <v/>
      </c>
      <c r="F114" s="14">
        <f>IFERROR(VLOOKUP(A:A,Assessment_Analysis_Ready!A:C,3,FALSE),"Not Available")</f>
        <v/>
      </c>
      <c r="G114" s="16">
        <f>IFERROR(VLOOKUP(A:A,Assessment_Analysis_Ready!A:D,4,FALSE),"Not Available")</f>
        <v/>
      </c>
      <c r="H114" s="14">
        <f>IFERROR(VLOOKUP(A:A,Assessment_Analysis_Ready!A:E,5,FALSE),"Not Available")</f>
        <v/>
      </c>
      <c r="I114" s="14">
        <f>IFERROR(VLOOKUP(A:A,Assessment_Analysis_Ready!A:F,6,FALSE),"Not Available")</f>
        <v/>
      </c>
      <c r="J114" s="14">
        <f>IFERROR(VLOOKUP(A:A,Discipline_Analysis_Ready!A:C,3,FALSE),"Not Available")</f>
        <v/>
      </c>
      <c r="K114" s="14">
        <f>IFERROR(VLOOKUP(A:A,Discipline_Analysis_Ready!A:D,4,FALSE),"Not Available")</f>
        <v/>
      </c>
    </row>
    <row r="115">
      <c r="A115" s="15" t="inlineStr">
        <is>
          <t>S1116</t>
        </is>
      </c>
      <c r="B115" s="14">
        <f>VLOOKUP(A115,Student_Analysis_Ready!A:D,4,FALSE)</f>
        <v/>
      </c>
      <c r="C115" s="14">
        <f>VLOOKUP(A:A,Student_Analysis_Ready!A:F,6,FALSE)</f>
        <v/>
      </c>
      <c r="D115" s="14">
        <f>VLOOKUP(A:A,Student_Analysis_Ready!A:E,5,FALSE)</f>
        <v/>
      </c>
      <c r="E115" s="14">
        <f>IFERROR(VLOOKUP(A:A,Attendence_Analysis_Ready!A:F,6,FALSE),"0")</f>
        <v/>
      </c>
      <c r="F115" s="14">
        <f>IFERROR(VLOOKUP(A:A,Assessment_Analysis_Ready!A:C,3,FALSE),"Not Available")</f>
        <v/>
      </c>
      <c r="G115" s="16">
        <f>IFERROR(VLOOKUP(A:A,Assessment_Analysis_Ready!A:D,4,FALSE),"Not Available")</f>
        <v/>
      </c>
      <c r="H115" s="14">
        <f>IFERROR(VLOOKUP(A:A,Assessment_Analysis_Ready!A:E,5,FALSE),"Not Available")</f>
        <v/>
      </c>
      <c r="I115" s="14">
        <f>IFERROR(VLOOKUP(A:A,Assessment_Analysis_Ready!A:F,6,FALSE),"Not Available")</f>
        <v/>
      </c>
      <c r="J115" s="14">
        <f>IFERROR(VLOOKUP(A:A,Discipline_Analysis_Ready!A:C,3,FALSE),"Not Available")</f>
        <v/>
      </c>
      <c r="K115" s="14">
        <f>IFERROR(VLOOKUP(A:A,Discipline_Analysis_Ready!A:D,4,FALSE),"Not Available")</f>
        <v/>
      </c>
    </row>
    <row r="116">
      <c r="A116" s="15" t="inlineStr">
        <is>
          <t>S1117</t>
        </is>
      </c>
      <c r="B116" s="14">
        <f>VLOOKUP(A116,Student_Analysis_Ready!A:D,4,FALSE)</f>
        <v/>
      </c>
      <c r="C116" s="14">
        <f>VLOOKUP(A:A,Student_Analysis_Ready!A:F,6,FALSE)</f>
        <v/>
      </c>
      <c r="D116" s="14">
        <f>VLOOKUP(A:A,Student_Analysis_Ready!A:E,5,FALSE)</f>
        <v/>
      </c>
      <c r="E116" s="14">
        <f>IFERROR(VLOOKUP(A:A,Attendence_Analysis_Ready!A:F,6,FALSE),"0")</f>
        <v/>
      </c>
      <c r="F116" s="14">
        <f>IFERROR(VLOOKUP(A:A,Assessment_Analysis_Ready!A:C,3,FALSE),"Not Available")</f>
        <v/>
      </c>
      <c r="G116" s="16">
        <f>IFERROR(VLOOKUP(A:A,Assessment_Analysis_Ready!A:D,4,FALSE),"Not Available")</f>
        <v/>
      </c>
      <c r="H116" s="14">
        <f>IFERROR(VLOOKUP(A:A,Assessment_Analysis_Ready!A:E,5,FALSE),"Not Available")</f>
        <v/>
      </c>
      <c r="I116" s="14">
        <f>IFERROR(VLOOKUP(A:A,Assessment_Analysis_Ready!A:F,6,FALSE),"Not Available")</f>
        <v/>
      </c>
      <c r="J116" s="14">
        <f>IFERROR(VLOOKUP(A:A,Discipline_Analysis_Ready!A:C,3,FALSE),"Not Available")</f>
        <v/>
      </c>
      <c r="K116" s="14">
        <f>IFERROR(VLOOKUP(A:A,Discipline_Analysis_Ready!A:D,4,FALSE),"Not Available")</f>
        <v/>
      </c>
    </row>
    <row r="117">
      <c r="A117" s="15" t="inlineStr">
        <is>
          <t>S1118</t>
        </is>
      </c>
      <c r="B117" s="14">
        <f>VLOOKUP(A117,Student_Analysis_Ready!A:D,4,FALSE)</f>
        <v/>
      </c>
      <c r="C117" s="14">
        <f>VLOOKUP(A:A,Student_Analysis_Ready!A:F,6,FALSE)</f>
        <v/>
      </c>
      <c r="D117" s="14">
        <f>VLOOKUP(A:A,Student_Analysis_Ready!A:E,5,FALSE)</f>
        <v/>
      </c>
      <c r="E117" s="14">
        <f>IFERROR(VLOOKUP(A:A,Attendence_Analysis_Ready!A:F,6,FALSE),"0")</f>
        <v/>
      </c>
      <c r="F117" s="14">
        <f>IFERROR(VLOOKUP(A:A,Assessment_Analysis_Ready!A:C,3,FALSE),"Not Available")</f>
        <v/>
      </c>
      <c r="G117" s="16">
        <f>IFERROR(VLOOKUP(A:A,Assessment_Analysis_Ready!A:D,4,FALSE),"Not Available")</f>
        <v/>
      </c>
      <c r="H117" s="14">
        <f>IFERROR(VLOOKUP(A:A,Assessment_Analysis_Ready!A:E,5,FALSE),"Not Available")</f>
        <v/>
      </c>
      <c r="I117" s="14">
        <f>IFERROR(VLOOKUP(A:A,Assessment_Analysis_Ready!A:F,6,FALSE),"Not Available")</f>
        <v/>
      </c>
      <c r="J117" s="14">
        <f>IFERROR(VLOOKUP(A:A,Discipline_Analysis_Ready!A:C,3,FALSE),"Not Available")</f>
        <v/>
      </c>
      <c r="K117" s="14">
        <f>IFERROR(VLOOKUP(A:A,Discipline_Analysis_Ready!A:D,4,FALSE),"Not Available")</f>
        <v/>
      </c>
    </row>
    <row r="118">
      <c r="A118" s="15" t="inlineStr">
        <is>
          <t>S1119</t>
        </is>
      </c>
      <c r="B118" s="14">
        <f>VLOOKUP(A118,Student_Analysis_Ready!A:D,4,FALSE)</f>
        <v/>
      </c>
      <c r="C118" s="14">
        <f>VLOOKUP(A:A,Student_Analysis_Ready!A:F,6,FALSE)</f>
        <v/>
      </c>
      <c r="D118" s="14">
        <f>VLOOKUP(A:A,Student_Analysis_Ready!A:E,5,FALSE)</f>
        <v/>
      </c>
      <c r="E118" s="14">
        <f>IFERROR(VLOOKUP(A:A,Attendence_Analysis_Ready!A:F,6,FALSE),"0")</f>
        <v/>
      </c>
      <c r="F118" s="14">
        <f>IFERROR(VLOOKUP(A:A,Assessment_Analysis_Ready!A:C,3,FALSE),"Not Available")</f>
        <v/>
      </c>
      <c r="G118" s="16">
        <f>IFERROR(VLOOKUP(A:A,Assessment_Analysis_Ready!A:D,4,FALSE),"Not Available")</f>
        <v/>
      </c>
      <c r="H118" s="14">
        <f>IFERROR(VLOOKUP(A:A,Assessment_Analysis_Ready!A:E,5,FALSE),"Not Available")</f>
        <v/>
      </c>
      <c r="I118" s="14">
        <f>IFERROR(VLOOKUP(A:A,Assessment_Analysis_Ready!A:F,6,FALSE),"Not Available")</f>
        <v/>
      </c>
      <c r="J118" s="14">
        <f>IFERROR(VLOOKUP(A:A,Discipline_Analysis_Ready!A:C,3,FALSE),"Not Available")</f>
        <v/>
      </c>
      <c r="K118" s="14">
        <f>IFERROR(VLOOKUP(A:A,Discipline_Analysis_Ready!A:D,4,FALSE),"Not Available")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00B7C9D6"/>
    <outlinePr summaryBelow="1" summaryRight="1"/>
    <pageSetUpPr/>
  </sheetPr>
  <dimension ref="A1:E8"/>
  <sheetViews>
    <sheetView topLeftCell="B1" workbookViewId="0">
      <selection activeCell="E12" sqref="E12"/>
    </sheetView>
  </sheetViews>
  <sheetFormatPr baseColWidth="8" defaultRowHeight="15"/>
  <cols>
    <col width="11.28515625" bestFit="1" customWidth="1" style="27" min="1" max="1"/>
    <col width="19.28515625" bestFit="1" customWidth="1" style="27" min="2" max="2"/>
    <col width="25" bestFit="1" customWidth="1" style="27" min="3" max="3"/>
    <col width="25.28515625" bestFit="1" customWidth="1" style="27" min="4" max="4"/>
    <col width="21.85546875" bestFit="1" customWidth="1" style="27" min="5" max="5"/>
  </cols>
  <sheetData>
    <row r="1"/>
    <row r="3">
      <c r="A3" s="19" t="inlineStr">
        <is>
          <t>Grade</t>
        </is>
      </c>
      <c r="B3" s="21" t="inlineStr">
        <is>
          <t>Average Attendance</t>
        </is>
      </c>
      <c r="C3" t="inlineStr">
        <is>
          <t>Average Assessment Score</t>
        </is>
      </c>
      <c r="D3" t="inlineStr">
        <is>
          <t>Sum of Discipline Incidents</t>
        </is>
      </c>
      <c r="E3" t="inlineStr">
        <is>
          <t>Sum of Major Incidents</t>
        </is>
      </c>
    </row>
    <row r="4">
      <c r="A4" s="20" t="n">
        <v>5</v>
      </c>
      <c r="B4" s="21" t="n">
        <v>91.48518518518519</v>
      </c>
      <c r="C4" s="21" t="n">
        <v>80.48148148148148</v>
      </c>
      <c r="D4" t="n">
        <v>32</v>
      </c>
      <c r="E4" t="n">
        <v>1</v>
      </c>
    </row>
    <row r="5">
      <c r="A5" s="20" t="n">
        <v>6</v>
      </c>
      <c r="B5" s="21" t="n">
        <v>91.28</v>
      </c>
      <c r="C5" s="21" t="n">
        <v>75.8</v>
      </c>
      <c r="D5" t="n">
        <v>32</v>
      </c>
      <c r="E5" t="n">
        <v>4</v>
      </c>
    </row>
    <row r="6">
      <c r="A6" s="20" t="n">
        <v>7</v>
      </c>
      <c r="B6" s="21" t="n">
        <v>93.47727272727273</v>
      </c>
      <c r="C6" s="21" t="n">
        <v>76.95652173913044</v>
      </c>
      <c r="D6" t="n">
        <v>22</v>
      </c>
      <c r="E6" t="n">
        <v>3</v>
      </c>
    </row>
    <row r="7">
      <c r="A7" s="20" t="n">
        <v>8</v>
      </c>
      <c r="B7" s="21" t="n">
        <v>91.53414634146341</v>
      </c>
      <c r="C7" s="21" t="n">
        <v>78.61538461538461</v>
      </c>
      <c r="D7" t="n">
        <v>64</v>
      </c>
      <c r="E7" t="n">
        <v>5</v>
      </c>
    </row>
    <row r="8">
      <c r="A8" s="20" t="inlineStr">
        <is>
          <t>Grand Total</t>
        </is>
      </c>
      <c r="B8" s="21" t="n">
        <v>91.83913043478262</v>
      </c>
      <c r="C8" s="21" t="n">
        <v>78.10526315789474</v>
      </c>
      <c r="D8" t="n">
        <v>150</v>
      </c>
      <c r="E8" t="n">
        <v>13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B7C9D6"/>
    <outlinePr summaryBelow="1" summaryRight="1"/>
    <pageSetUpPr/>
  </sheetPr>
  <dimension ref="A1:E6"/>
  <sheetViews>
    <sheetView workbookViewId="0">
      <selection activeCell="H16" sqref="H16"/>
    </sheetView>
  </sheetViews>
  <sheetFormatPr baseColWidth="8" defaultRowHeight="15"/>
  <cols>
    <col width="13.140625" bestFit="1" customWidth="1" style="27" min="1" max="1"/>
    <col width="26.85546875" bestFit="1" customWidth="1" style="27" min="2" max="2"/>
    <col width="28" bestFit="1" customWidth="1" style="27" min="3" max="3"/>
    <col width="26" bestFit="1" customWidth="1" style="27" min="4" max="4"/>
    <col width="22.42578125" bestFit="1" customWidth="1" style="27" min="5" max="5"/>
  </cols>
  <sheetData>
    <row r="1">
      <c r="A1" s="19" t="inlineStr">
        <is>
          <t>Program</t>
        </is>
      </c>
      <c r="B1" t="inlineStr">
        <is>
          <t>Average of Attendance_Rate</t>
        </is>
      </c>
      <c r="C1" t="inlineStr">
        <is>
          <t>Average of Assessment_Score</t>
        </is>
      </c>
      <c r="D1" t="inlineStr">
        <is>
          <t>Sum of Discipline_Incidents</t>
        </is>
      </c>
      <c r="E1" t="inlineStr">
        <is>
          <t>Sum of Major_Incidents</t>
        </is>
      </c>
    </row>
    <row r="2">
      <c r="A2" s="20" t="inlineStr">
        <is>
          <t>Core</t>
        </is>
      </c>
      <c r="B2" s="21" t="n">
        <v>93.15344827586205</v>
      </c>
      <c r="C2" s="21" t="n">
        <v>78.75</v>
      </c>
      <c r="D2" t="n">
        <v>74</v>
      </c>
      <c r="E2" t="n">
        <v>8</v>
      </c>
    </row>
    <row r="3">
      <c r="A3" s="20" t="inlineStr">
        <is>
          <t>MTSS Tier 1</t>
        </is>
      </c>
      <c r="B3" s="21" t="n">
        <v>90.23103448275862</v>
      </c>
      <c r="C3" s="21" t="n">
        <v>74.70967741935483</v>
      </c>
      <c r="D3" t="n">
        <v>39</v>
      </c>
      <c r="E3" t="n">
        <v>3</v>
      </c>
    </row>
    <row r="4">
      <c r="A4" s="20" t="inlineStr">
        <is>
          <t>MTSS Tier 2</t>
        </is>
      </c>
      <c r="B4" s="21" t="n">
        <v>90.71666666666667</v>
      </c>
      <c r="C4" s="21" t="n">
        <v>80.05882352941177</v>
      </c>
      <c r="D4" t="n">
        <v>15</v>
      </c>
      <c r="E4" t="n">
        <v>0</v>
      </c>
    </row>
    <row r="5">
      <c r="A5" s="20" t="inlineStr">
        <is>
          <t>MTSS Tier 3</t>
        </is>
      </c>
      <c r="B5" s="21" t="n">
        <v>90.89999999999999</v>
      </c>
      <c r="C5" s="21" t="n">
        <v>81.7</v>
      </c>
      <c r="D5" t="n">
        <v>22</v>
      </c>
      <c r="E5" t="n">
        <v>2</v>
      </c>
    </row>
    <row r="6">
      <c r="A6" s="20" t="inlineStr">
        <is>
          <t>Grand Total</t>
        </is>
      </c>
      <c r="B6" s="21" t="n">
        <v>91.83913043478258</v>
      </c>
      <c r="C6" s="21" t="n">
        <v>78.10526315789474</v>
      </c>
      <c r="D6" t="n">
        <v>150</v>
      </c>
      <c r="E6" t="n">
        <v>13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B7C9D6"/>
    <outlinePr summaryBelow="1" summaryRight="1"/>
    <pageSetUpPr/>
  </sheetPr>
  <dimension ref="A1:C89"/>
  <sheetViews>
    <sheetView workbookViewId="0">
      <selection activeCell="H25" sqref="H25"/>
    </sheetView>
  </sheetViews>
  <sheetFormatPr baseColWidth="8" defaultRowHeight="15"/>
  <cols>
    <col width="13.140625" bestFit="1" customWidth="1" style="27" min="1" max="1"/>
    <col width="18.42578125" customWidth="1" style="27" min="2" max="2"/>
    <col width="27.42578125" customWidth="1" style="27" min="3" max="3"/>
    <col width="13.140625" bestFit="1" customWidth="1" style="27" min="4" max="4"/>
    <col width="28" bestFit="1" customWidth="1" style="27" min="5" max="5"/>
    <col width="13.140625" bestFit="1" customWidth="1" style="27" min="7" max="7"/>
    <col width="28" bestFit="1" customWidth="1" style="27" min="8" max="8"/>
  </cols>
  <sheetData>
    <row r="1"/>
    <row r="5">
      <c r="B5" s="19" t="inlineStr">
        <is>
          <t>Attendance Rate</t>
        </is>
      </c>
      <c r="C5" s="21" t="inlineStr">
        <is>
          <t>Average of Assessment_Score</t>
        </is>
      </c>
    </row>
    <row r="6">
      <c r="B6" s="20" t="n">
        <v>75</v>
      </c>
      <c r="C6" t="n">
        <v>85</v>
      </c>
    </row>
    <row r="7">
      <c r="B7" s="20" t="n">
        <v>75.3</v>
      </c>
      <c r="C7" t="n">
        <v>86</v>
      </c>
    </row>
    <row r="8">
      <c r="B8" s="20" t="n">
        <v>76.3</v>
      </c>
      <c r="C8" t="n">
        <v>100</v>
      </c>
    </row>
    <row r="9">
      <c r="B9" s="20" t="n">
        <v>79.2</v>
      </c>
    </row>
    <row r="10">
      <c r="B10" s="20" t="n">
        <v>79.40000000000001</v>
      </c>
      <c r="C10" t="n">
        <v>69</v>
      </c>
    </row>
    <row r="11">
      <c r="B11" s="20" t="n">
        <v>80.40000000000001</v>
      </c>
      <c r="C11" t="n">
        <v>79</v>
      </c>
    </row>
    <row r="12">
      <c r="B12" s="20" t="n">
        <v>81.09999999999999</v>
      </c>
      <c r="C12" t="n">
        <v>70</v>
      </c>
    </row>
    <row r="13">
      <c r="B13" s="20" t="n">
        <v>81.59999999999999</v>
      </c>
      <c r="C13" t="n">
        <v>61</v>
      </c>
    </row>
    <row r="14">
      <c r="B14" s="20" t="n">
        <v>82.09999999999999</v>
      </c>
      <c r="C14" t="n">
        <v>89</v>
      </c>
    </row>
    <row r="15">
      <c r="B15" s="20" t="n">
        <v>83.3</v>
      </c>
      <c r="C15" t="n">
        <v>71</v>
      </c>
    </row>
    <row r="16">
      <c r="B16" s="20" t="n">
        <v>83.59999999999999</v>
      </c>
      <c r="C16" t="n">
        <v>75</v>
      </c>
    </row>
    <row r="17">
      <c r="B17" s="20" t="n">
        <v>83.8</v>
      </c>
      <c r="C17" t="n">
        <v>80.5</v>
      </c>
    </row>
    <row r="18">
      <c r="B18" s="20" t="n">
        <v>84.2</v>
      </c>
      <c r="C18" t="n">
        <v>86.5</v>
      </c>
    </row>
    <row r="19">
      <c r="B19" s="20" t="n">
        <v>84.40000000000001</v>
      </c>
      <c r="C19" t="n">
        <v>66</v>
      </c>
    </row>
    <row r="20">
      <c r="B20" s="20" t="n">
        <v>84.5</v>
      </c>
      <c r="C20" t="n">
        <v>87</v>
      </c>
    </row>
    <row r="21">
      <c r="B21" s="20" t="n">
        <v>84.59999999999999</v>
      </c>
      <c r="C21" t="n">
        <v>73.5</v>
      </c>
    </row>
    <row r="22">
      <c r="B22" s="20" t="n">
        <v>85.40000000000001</v>
      </c>
      <c r="C22" t="n">
        <v>79</v>
      </c>
    </row>
    <row r="23">
      <c r="B23" s="20" t="n">
        <v>85.5</v>
      </c>
      <c r="C23" t="n">
        <v>67</v>
      </c>
    </row>
    <row r="24">
      <c r="B24" s="20" t="n">
        <v>86.09999999999999</v>
      </c>
      <c r="C24" t="n">
        <v>72</v>
      </c>
    </row>
    <row r="25">
      <c r="B25" s="20" t="n">
        <v>86.3</v>
      </c>
      <c r="C25" t="n">
        <v>100</v>
      </c>
    </row>
    <row r="26">
      <c r="B26" s="20" t="n">
        <v>86.7</v>
      </c>
      <c r="C26" t="n">
        <v>93</v>
      </c>
    </row>
    <row r="27">
      <c r="B27" s="20" t="n">
        <v>87.09999999999999</v>
      </c>
      <c r="C27" t="n">
        <v>92</v>
      </c>
    </row>
    <row r="28">
      <c r="B28" s="20" t="n">
        <v>87.90000000000001</v>
      </c>
      <c r="C28" t="n">
        <v>87.5</v>
      </c>
    </row>
    <row r="29">
      <c r="B29" s="20" t="n">
        <v>88.40000000000001</v>
      </c>
      <c r="C29" t="n">
        <v>58</v>
      </c>
    </row>
    <row r="30">
      <c r="B30" s="20" t="n">
        <v>88.59999999999999</v>
      </c>
      <c r="C30" t="n">
        <v>81.5</v>
      </c>
    </row>
    <row r="31">
      <c r="B31" s="20" t="n">
        <v>88.7</v>
      </c>
      <c r="C31" t="n">
        <v>85</v>
      </c>
    </row>
    <row r="32">
      <c r="B32" s="20" t="n">
        <v>88.90000000000001</v>
      </c>
      <c r="C32" t="n">
        <v>74</v>
      </c>
    </row>
    <row r="33">
      <c r="B33" s="20" t="n">
        <v>89.09999999999999</v>
      </c>
      <c r="C33" t="n">
        <v>65</v>
      </c>
    </row>
    <row r="34">
      <c r="B34" s="20" t="n">
        <v>89.3</v>
      </c>
      <c r="C34" t="n">
        <v>76</v>
      </c>
    </row>
    <row r="35">
      <c r="B35" s="20" t="n">
        <v>89.90000000000001</v>
      </c>
      <c r="C35" t="n">
        <v>66</v>
      </c>
    </row>
    <row r="36">
      <c r="B36" s="20" t="n">
        <v>90</v>
      </c>
      <c r="C36" t="n">
        <v>82</v>
      </c>
    </row>
    <row r="37">
      <c r="B37" s="20" t="n">
        <v>90.59999999999999</v>
      </c>
      <c r="C37" t="n">
        <v>74</v>
      </c>
    </row>
    <row r="38">
      <c r="B38" s="20" t="n">
        <v>91.09999999999999</v>
      </c>
      <c r="C38" t="n">
        <v>78</v>
      </c>
    </row>
    <row r="39">
      <c r="B39" s="20" t="n">
        <v>91.2</v>
      </c>
      <c r="C39" t="n">
        <v>75</v>
      </c>
    </row>
    <row r="40">
      <c r="B40" s="20" t="n">
        <v>91.5</v>
      </c>
      <c r="C40" t="n">
        <v>97</v>
      </c>
    </row>
    <row r="41">
      <c r="B41" s="20" t="n">
        <v>91.7</v>
      </c>
      <c r="C41" t="n">
        <v>85</v>
      </c>
    </row>
    <row r="42">
      <c r="B42" s="20" t="n">
        <v>91.8</v>
      </c>
      <c r="C42" t="n">
        <v>85.5</v>
      </c>
    </row>
    <row r="43">
      <c r="B43" s="20" t="n">
        <v>92</v>
      </c>
      <c r="C43" t="n">
        <v>72</v>
      </c>
    </row>
    <row r="44">
      <c r="B44" s="20" t="n">
        <v>92.2</v>
      </c>
      <c r="C44" t="n">
        <v>88</v>
      </c>
    </row>
    <row r="45">
      <c r="B45" s="20" t="n">
        <v>92.40000000000001</v>
      </c>
      <c r="C45" t="n">
        <v>76</v>
      </c>
    </row>
    <row r="46">
      <c r="B46" s="20" t="n">
        <v>92.59999999999999</v>
      </c>
      <c r="C46" t="n">
        <v>88</v>
      </c>
    </row>
    <row r="47">
      <c r="B47" s="20" t="n">
        <v>93</v>
      </c>
      <c r="C47" t="n">
        <v>86</v>
      </c>
    </row>
    <row r="48">
      <c r="B48" s="20" t="n">
        <v>93.09999999999999</v>
      </c>
      <c r="C48" s="21" t="n">
        <v>81.66666666666667</v>
      </c>
    </row>
    <row r="49">
      <c r="B49" s="20" t="n">
        <v>93.3</v>
      </c>
      <c r="C49" t="n">
        <v>74.5</v>
      </c>
    </row>
    <row r="50">
      <c r="B50" s="20" t="n">
        <v>93.5</v>
      </c>
      <c r="C50" t="n">
        <v>87</v>
      </c>
    </row>
    <row r="51">
      <c r="B51" s="20" t="n">
        <v>93.59999999999999</v>
      </c>
      <c r="C51" t="n">
        <v>62.5</v>
      </c>
    </row>
    <row r="52">
      <c r="B52" s="20" t="n">
        <v>93.7</v>
      </c>
      <c r="C52" t="n">
        <v>65</v>
      </c>
    </row>
    <row r="53">
      <c r="B53" s="20" t="n">
        <v>93.8</v>
      </c>
      <c r="C53" t="n">
        <v>84</v>
      </c>
    </row>
    <row r="54">
      <c r="B54" s="20" t="n">
        <v>94</v>
      </c>
      <c r="C54" t="n">
        <v>69</v>
      </c>
    </row>
    <row r="55">
      <c r="B55" s="20" t="n">
        <v>94.59999999999999</v>
      </c>
      <c r="C55" t="n">
        <v>82.5</v>
      </c>
    </row>
    <row r="56">
      <c r="B56" s="20" t="n">
        <v>94.7</v>
      </c>
      <c r="C56" t="n">
        <v>100</v>
      </c>
    </row>
    <row r="57">
      <c r="B57" s="20" t="n">
        <v>94.90000000000001</v>
      </c>
      <c r="C57" t="n">
        <v>92.5</v>
      </c>
    </row>
    <row r="58">
      <c r="B58" s="20" t="n">
        <v>95.09999999999999</v>
      </c>
      <c r="C58" t="n">
        <v>79</v>
      </c>
    </row>
    <row r="59">
      <c r="B59" s="20" t="n">
        <v>95.2</v>
      </c>
      <c r="C59" t="n">
        <v>48</v>
      </c>
    </row>
    <row r="60">
      <c r="B60" s="20" t="n">
        <v>95.3</v>
      </c>
      <c r="C60" t="n">
        <v>64</v>
      </c>
    </row>
    <row r="61">
      <c r="B61" s="20" t="n">
        <v>95.40000000000001</v>
      </c>
      <c r="C61" t="n">
        <v>78</v>
      </c>
    </row>
    <row r="62">
      <c r="B62" s="20" t="n">
        <v>95.5</v>
      </c>
      <c r="C62" t="n">
        <v>83</v>
      </c>
    </row>
    <row r="63">
      <c r="B63" s="20" t="n">
        <v>95.59999999999999</v>
      </c>
      <c r="C63" t="n">
        <v>83</v>
      </c>
    </row>
    <row r="64">
      <c r="B64" s="20" t="n">
        <v>95.7</v>
      </c>
    </row>
    <row r="65">
      <c r="B65" s="20" t="n">
        <v>95.90000000000001</v>
      </c>
      <c r="C65" t="n">
        <v>90</v>
      </c>
    </row>
    <row r="66">
      <c r="B66" s="20" t="n">
        <v>96</v>
      </c>
      <c r="C66" t="n">
        <v>79.5</v>
      </c>
    </row>
    <row r="67">
      <c r="B67" s="20" t="n">
        <v>96.2</v>
      </c>
      <c r="C67" t="n">
        <v>100</v>
      </c>
    </row>
    <row r="68">
      <c r="B68" s="20" t="n">
        <v>96.3</v>
      </c>
      <c r="C68" t="n">
        <v>85.5</v>
      </c>
    </row>
    <row r="69">
      <c r="B69" s="20" t="n">
        <v>96.8</v>
      </c>
      <c r="C69" t="n">
        <v>78</v>
      </c>
    </row>
    <row r="70">
      <c r="B70" s="20" t="n">
        <v>96.90000000000001</v>
      </c>
      <c r="C70" t="n">
        <v>67.5</v>
      </c>
    </row>
    <row r="71">
      <c r="B71" s="20" t="n">
        <v>97.2</v>
      </c>
      <c r="C71" t="n">
        <v>80</v>
      </c>
    </row>
    <row r="72">
      <c r="B72" s="20" t="n">
        <v>97.40000000000001</v>
      </c>
      <c r="C72" t="n">
        <v>61</v>
      </c>
    </row>
    <row r="73">
      <c r="B73" s="20" t="n">
        <v>97.59999999999999</v>
      </c>
      <c r="C73" t="n">
        <v>60</v>
      </c>
    </row>
    <row r="74">
      <c r="B74" s="20" t="n">
        <v>97.7</v>
      </c>
      <c r="C74" t="n">
        <v>77</v>
      </c>
    </row>
    <row r="75">
      <c r="B75" s="20" t="n">
        <v>98</v>
      </c>
      <c r="C75" t="n">
        <v>55</v>
      </c>
    </row>
    <row r="76">
      <c r="B76" s="20" t="n">
        <v>98.09999999999999</v>
      </c>
      <c r="C76" t="n">
        <v>83</v>
      </c>
    </row>
    <row r="77">
      <c r="B77" s="20" t="n">
        <v>98.2</v>
      </c>
      <c r="C77" t="n">
        <v>75</v>
      </c>
    </row>
    <row r="78">
      <c r="B78" s="20" t="n">
        <v>98.3</v>
      </c>
      <c r="C78" t="n">
        <v>79</v>
      </c>
    </row>
    <row r="79">
      <c r="B79" s="20" t="n">
        <v>98.40000000000001</v>
      </c>
      <c r="C79" t="n">
        <v>61.5</v>
      </c>
    </row>
    <row r="80">
      <c r="B80" s="20" t="n">
        <v>98.59999999999999</v>
      </c>
      <c r="C80" t="n">
        <v>76</v>
      </c>
    </row>
    <row r="81">
      <c r="B81" s="20" t="n">
        <v>98.8</v>
      </c>
      <c r="C81" t="n">
        <v>78</v>
      </c>
    </row>
    <row r="82">
      <c r="B82" s="20" t="n">
        <v>98.90000000000001</v>
      </c>
      <c r="C82" t="n">
        <v>68</v>
      </c>
    </row>
    <row r="83">
      <c r="B83" s="20" t="n">
        <v>99</v>
      </c>
      <c r="C83" t="n">
        <v>100</v>
      </c>
    </row>
    <row r="84">
      <c r="B84" s="20" t="n">
        <v>99.3</v>
      </c>
      <c r="C84" t="n">
        <v>60</v>
      </c>
    </row>
    <row r="85">
      <c r="B85" s="20" t="n">
        <v>99.40000000000001</v>
      </c>
      <c r="C85" t="n">
        <v>81.5</v>
      </c>
    </row>
    <row r="86">
      <c r="B86" s="20" t="n">
        <v>100</v>
      </c>
      <c r="C86" t="n">
        <v>79.66666666666667</v>
      </c>
    </row>
    <row r="87">
      <c r="B87" s="20" t="inlineStr">
        <is>
          <t>Not Available</t>
        </is>
      </c>
      <c r="C87" t="n">
        <v>73.5</v>
      </c>
    </row>
    <row r="88">
      <c r="B88" s="20" t="inlineStr">
        <is>
          <t>(blank)</t>
        </is>
      </c>
    </row>
    <row r="89">
      <c r="B89" s="20" t="inlineStr">
        <is>
          <t>Grand Total</t>
        </is>
      </c>
      <c r="C89" t="n">
        <v>78.10526315789474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B7C9D6"/>
    <outlinePr summaryBelow="1" summaryRight="1"/>
    <pageSetUpPr/>
  </sheetPr>
  <dimension ref="A1:G120"/>
  <sheetViews>
    <sheetView tabSelected="1" topLeftCell="A19" workbookViewId="0">
      <selection activeCell="H42" sqref="H42"/>
    </sheetView>
  </sheetViews>
  <sheetFormatPr baseColWidth="8" defaultRowHeight="15"/>
  <cols>
    <col width="15.5703125" customWidth="1" style="27" min="1" max="1"/>
    <col width="13.28515625" customWidth="1" style="27" min="3" max="3"/>
    <col width="15.42578125" customWidth="1" style="27" min="5" max="5"/>
  </cols>
  <sheetData>
    <row r="1" ht="21" customHeight="1" s="27">
      <c r="A1" s="22" t="inlineStr">
        <is>
          <t>Student Performance &amp; Outcomes - Leadership Dashboard</t>
        </is>
      </c>
    </row>
    <row r="2" ht="12.75" customFormat="1" customHeight="1" s="24">
      <c r="A2" s="23" t="n"/>
    </row>
    <row r="3">
      <c r="A3" s="3" t="inlineStr">
        <is>
          <t>Total Students</t>
        </is>
      </c>
      <c r="C3" s="3" t="inlineStr">
        <is>
          <t>Average Attendance</t>
        </is>
      </c>
      <c r="E3" s="3" t="inlineStr">
        <is>
          <t>Average Assessment Score</t>
        </is>
      </c>
      <c r="G3" s="3" t="inlineStr">
        <is>
          <t>Students Below 85% Attendance</t>
        </is>
      </c>
    </row>
    <row r="4">
      <c r="A4" s="15">
        <f>COUNTA(Student_Outcome_Analysis!A2:A118)</f>
        <v/>
      </c>
      <c r="C4" s="21">
        <f>AVERAGE(Student_Outcome_Analysis!F2:F118)</f>
        <v/>
      </c>
      <c r="E4" s="21">
        <f>AVERAGE(Student_Outcome_Analysis!I2:I118)</f>
        <v/>
      </c>
      <c r="G4">
        <f>COUNTIF(Student_Outcome_Analysis!F2:F118,"&lt;85")</f>
        <v/>
      </c>
    </row>
    <row r="5">
      <c r="A5" s="15" t="n"/>
    </row>
    <row r="6">
      <c r="A6" s="15" t="n"/>
    </row>
    <row r="7">
      <c r="A7" s="15" t="n"/>
    </row>
    <row r="8">
      <c r="A8" s="15" t="n"/>
    </row>
    <row r="9">
      <c r="A9" s="15" t="n"/>
    </row>
    <row r="10">
      <c r="A10" s="15" t="n"/>
    </row>
    <row r="11">
      <c r="A11" s="15" t="n"/>
    </row>
    <row r="12">
      <c r="A12" s="15" t="n"/>
    </row>
    <row r="13">
      <c r="A13" s="15" t="n"/>
    </row>
    <row r="14">
      <c r="A14" s="15" t="n"/>
    </row>
    <row r="15">
      <c r="A15" s="15" t="n"/>
    </row>
    <row r="16">
      <c r="A16" s="15" t="n"/>
    </row>
    <row r="17">
      <c r="A17" s="15" t="n"/>
    </row>
    <row r="18">
      <c r="A18" s="15" t="n"/>
    </row>
    <row r="19">
      <c r="A19" s="15" t="n"/>
    </row>
    <row r="20">
      <c r="A20" s="15" t="n"/>
    </row>
    <row r="21">
      <c r="A21" s="15" t="n"/>
    </row>
    <row r="22">
      <c r="A22" s="15" t="n"/>
    </row>
    <row r="23">
      <c r="A23" s="15" t="n"/>
    </row>
    <row r="24">
      <c r="A24" s="15" t="n"/>
    </row>
    <row r="25">
      <c r="A25" s="15" t="n"/>
    </row>
    <row r="26">
      <c r="A26" s="15" t="n"/>
    </row>
    <row r="27">
      <c r="A27" s="15" t="n"/>
    </row>
    <row r="28">
      <c r="A28" s="15" t="n"/>
    </row>
    <row r="29">
      <c r="A29" s="15" t="n"/>
    </row>
    <row r="30">
      <c r="A30" s="15" t="n"/>
    </row>
    <row r="31">
      <c r="A31" s="15" t="n"/>
    </row>
    <row r="32">
      <c r="A32" s="15" t="n"/>
    </row>
    <row r="33">
      <c r="A33" s="15" t="n"/>
    </row>
    <row r="34">
      <c r="A34" s="15" t="n"/>
    </row>
    <row r="35">
      <c r="A35" s="15" t="n"/>
    </row>
    <row r="36">
      <c r="A36" s="15" t="n"/>
    </row>
    <row r="37">
      <c r="A37" s="15" t="n"/>
    </row>
    <row r="38">
      <c r="A38" s="15" t="n"/>
    </row>
    <row r="39">
      <c r="A39" s="15" t="n"/>
    </row>
    <row r="40">
      <c r="A40" s="15" t="n"/>
    </row>
    <row r="41">
      <c r="A41" s="15" t="n"/>
    </row>
    <row r="42">
      <c r="A42" s="15" t="n"/>
    </row>
    <row r="43">
      <c r="A43" s="15" t="n"/>
    </row>
    <row r="44">
      <c r="A44" s="15" t="n"/>
    </row>
    <row r="45">
      <c r="A45" s="15" t="n"/>
    </row>
    <row r="46">
      <c r="A46" s="15" t="n"/>
    </row>
    <row r="47">
      <c r="A47" s="15" t="n"/>
    </row>
    <row r="48">
      <c r="A48" s="15" t="n"/>
    </row>
    <row r="49">
      <c r="A49" s="15" t="n"/>
    </row>
    <row r="50">
      <c r="A50" s="15" t="n"/>
    </row>
    <row r="51">
      <c r="A51" s="15" t="n"/>
    </row>
    <row r="52">
      <c r="A52" s="15" t="n"/>
    </row>
    <row r="53">
      <c r="A53" s="15" t="n"/>
    </row>
    <row r="54">
      <c r="A54" s="15" t="n"/>
    </row>
    <row r="55">
      <c r="A55" s="15" t="n"/>
    </row>
    <row r="56">
      <c r="A56" s="15" t="n"/>
    </row>
    <row r="57">
      <c r="A57" s="15" t="n"/>
    </row>
    <row r="58">
      <c r="A58" s="15" t="n"/>
    </row>
    <row r="59">
      <c r="A59" s="15" t="n"/>
    </row>
    <row r="60">
      <c r="A60" s="15" t="n"/>
    </row>
    <row r="61">
      <c r="A61" s="15" t="n"/>
    </row>
    <row r="62">
      <c r="A62" s="15" t="n"/>
    </row>
    <row r="63">
      <c r="A63" s="15" t="n"/>
    </row>
    <row r="64">
      <c r="A64" s="15" t="n"/>
    </row>
    <row r="65">
      <c r="A65" s="15" t="n"/>
    </row>
    <row r="66">
      <c r="A66" s="15" t="n"/>
    </row>
    <row r="67">
      <c r="A67" s="15" t="n"/>
    </row>
    <row r="68">
      <c r="A68" s="15" t="n"/>
    </row>
    <row r="69">
      <c r="A69" s="15" t="n"/>
    </row>
    <row r="70">
      <c r="A70" s="15" t="n"/>
    </row>
    <row r="71">
      <c r="A71" s="15" t="n"/>
    </row>
    <row r="72">
      <c r="A72" s="15" t="n"/>
    </row>
    <row r="73">
      <c r="A73" s="15" t="n"/>
    </row>
    <row r="74">
      <c r="A74" s="15" t="n"/>
    </row>
    <row r="75">
      <c r="A75" s="15" t="n"/>
    </row>
    <row r="76">
      <c r="A76" s="15" t="n"/>
    </row>
    <row r="77">
      <c r="A77" s="15" t="n"/>
    </row>
    <row r="78">
      <c r="A78" s="15" t="n"/>
    </row>
    <row r="79">
      <c r="A79" s="15" t="n"/>
    </row>
    <row r="80">
      <c r="A80" s="15" t="n"/>
    </row>
    <row r="81">
      <c r="A81" s="15" t="n"/>
    </row>
    <row r="82">
      <c r="A82" s="15" t="n"/>
    </row>
    <row r="83">
      <c r="A83" s="15" t="n"/>
    </row>
    <row r="84">
      <c r="A84" s="15" t="n"/>
    </row>
    <row r="85">
      <c r="A85" s="15" t="n"/>
    </row>
    <row r="86">
      <c r="A86" s="15" t="n"/>
    </row>
    <row r="87">
      <c r="A87" s="15" t="n"/>
    </row>
    <row r="88">
      <c r="A88" s="15" t="n"/>
    </row>
    <row r="89">
      <c r="A89" s="15" t="n"/>
    </row>
    <row r="90">
      <c r="A90" s="15" t="n"/>
    </row>
    <row r="91">
      <c r="A91" s="15" t="n"/>
    </row>
    <row r="92">
      <c r="A92" s="15" t="n"/>
    </row>
    <row r="93">
      <c r="A93" s="15" t="n"/>
    </row>
    <row r="94">
      <c r="A94" s="15" t="n"/>
    </row>
    <row r="95">
      <c r="A95" s="15" t="n"/>
    </row>
    <row r="96">
      <c r="A96" s="15" t="n"/>
    </row>
    <row r="97">
      <c r="A97" s="15" t="n"/>
    </row>
    <row r="98">
      <c r="A98" s="15" t="n"/>
    </row>
    <row r="99">
      <c r="A99" s="15" t="n"/>
    </row>
    <row r="100">
      <c r="A100" s="15" t="n"/>
    </row>
    <row r="101">
      <c r="A101" s="15" t="n"/>
    </row>
    <row r="102">
      <c r="A102" s="15" t="n"/>
    </row>
    <row r="103">
      <c r="A103" s="15" t="n"/>
    </row>
    <row r="104">
      <c r="A104" s="15" t="n"/>
    </row>
    <row r="105">
      <c r="A105" s="15" t="n"/>
    </row>
    <row r="106">
      <c r="A106" s="15" t="n"/>
    </row>
    <row r="107">
      <c r="A107" s="15" t="n"/>
    </row>
    <row r="108">
      <c r="A108" s="15" t="n"/>
    </row>
    <row r="109">
      <c r="A109" s="15" t="n"/>
    </row>
    <row r="110">
      <c r="A110" s="15" t="n"/>
    </row>
    <row r="111">
      <c r="A111" s="15" t="n"/>
    </row>
    <row r="112">
      <c r="A112" s="15" t="n"/>
    </row>
    <row r="113">
      <c r="A113" s="15" t="n"/>
    </row>
    <row r="114">
      <c r="A114" s="15" t="n"/>
    </row>
    <row r="115">
      <c r="A115" s="15" t="n"/>
    </row>
    <row r="116">
      <c r="A116" s="15" t="n"/>
    </row>
    <row r="117">
      <c r="A117" s="15" t="n"/>
    </row>
    <row r="118">
      <c r="A118" s="15" t="n"/>
    </row>
    <row r="119">
      <c r="A119" s="15" t="n"/>
    </row>
    <row r="120">
      <c r="A120" s="15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B7C9D6"/>
    <outlinePr summaryBelow="1" summaryRight="1"/>
    <pageSetUpPr/>
  </sheetPr>
  <dimension ref="A1:K96"/>
  <sheetViews>
    <sheetView workbookViewId="0">
      <selection activeCell="J92" sqref="J92"/>
    </sheetView>
  </sheetViews>
  <sheetFormatPr baseColWidth="8" defaultRowHeight="15"/>
  <sheetData>
    <row r="1"/>
    <row r="5">
      <c r="B5" s="25" t="inlineStr">
        <is>
          <t>Grade</t>
        </is>
      </c>
      <c r="C5" s="26" t="inlineStr">
        <is>
          <t>Average Attendance</t>
        </is>
      </c>
      <c r="F5" s="25" t="inlineStr">
        <is>
          <t>Grade</t>
        </is>
      </c>
      <c r="G5" s="25" t="inlineStr">
        <is>
          <t>Average Assessment Score</t>
        </is>
      </c>
      <c r="J5" s="25" t="inlineStr">
        <is>
          <t>Program</t>
        </is>
      </c>
      <c r="K5" s="25" t="inlineStr">
        <is>
          <t>Average of Assessment_Score</t>
        </is>
      </c>
    </row>
    <row r="6">
      <c r="B6" s="20" t="n">
        <v>5</v>
      </c>
      <c r="C6" s="21" t="n">
        <v>91.48518518518519</v>
      </c>
      <c r="F6" s="20" t="n">
        <v>5</v>
      </c>
      <c r="G6" s="21" t="n">
        <v>80.48148148148148</v>
      </c>
      <c r="J6" s="20" t="inlineStr">
        <is>
          <t>Core</t>
        </is>
      </c>
      <c r="K6" s="21" t="n">
        <v>78.75</v>
      </c>
    </row>
    <row r="7">
      <c r="B7" s="20" t="n">
        <v>6</v>
      </c>
      <c r="C7" s="21" t="n">
        <v>91.28</v>
      </c>
      <c r="F7" s="20" t="n">
        <v>6</v>
      </c>
      <c r="G7" s="21" t="n">
        <v>75.8</v>
      </c>
      <c r="J7" s="20" t="inlineStr">
        <is>
          <t>MTSS Tier 1</t>
        </is>
      </c>
      <c r="K7" s="21" t="n">
        <v>74.70967741935483</v>
      </c>
    </row>
    <row r="8">
      <c r="B8" s="20" t="n">
        <v>7</v>
      </c>
      <c r="C8" s="21" t="n">
        <v>93.47727272727273</v>
      </c>
      <c r="F8" s="20" t="n">
        <v>7</v>
      </c>
      <c r="G8" s="21" t="n">
        <v>76.95652173913044</v>
      </c>
      <c r="J8" s="20" t="inlineStr">
        <is>
          <t>MTSS Tier 2</t>
        </is>
      </c>
      <c r="K8" s="21" t="n">
        <v>80.05882352941177</v>
      </c>
    </row>
    <row r="9">
      <c r="B9" s="20" t="n">
        <v>8</v>
      </c>
      <c r="C9" s="21" t="n">
        <v>91.53414634146341</v>
      </c>
      <c r="F9" s="20" t="n">
        <v>8</v>
      </c>
      <c r="G9" s="21" t="n">
        <v>78.61538461538461</v>
      </c>
      <c r="J9" s="20" t="inlineStr">
        <is>
          <t>MTSS Tier 3</t>
        </is>
      </c>
      <c r="K9" s="21" t="n">
        <v>81.7</v>
      </c>
    </row>
    <row r="14">
      <c r="B14" s="25" t="inlineStr">
        <is>
          <t>Row Labels</t>
        </is>
      </c>
      <c r="C14" s="25" t="inlineStr">
        <is>
          <t>Average of Assessment_Score</t>
        </is>
      </c>
    </row>
    <row r="15">
      <c r="B15" s="20" t="n">
        <v>75</v>
      </c>
      <c r="C15" s="21" t="n">
        <v>85</v>
      </c>
    </row>
    <row r="16">
      <c r="B16" s="20" t="n">
        <v>75.3</v>
      </c>
      <c r="C16" s="21" t="n">
        <v>86</v>
      </c>
    </row>
    <row r="17">
      <c r="B17" s="20" t="n">
        <v>76.3</v>
      </c>
      <c r="C17" s="21" t="n">
        <v>100</v>
      </c>
    </row>
    <row r="18">
      <c r="B18" s="20" t="n">
        <v>79.2</v>
      </c>
      <c r="C18" s="21" t="e">
        <v>#DIV/0!</v>
      </c>
    </row>
    <row r="19">
      <c r="B19" s="20" t="n">
        <v>79.40000000000001</v>
      </c>
      <c r="C19" s="21" t="n">
        <v>69</v>
      </c>
    </row>
    <row r="20">
      <c r="B20" s="20" t="n">
        <v>80.40000000000001</v>
      </c>
      <c r="C20" s="21" t="n">
        <v>79</v>
      </c>
    </row>
    <row r="21">
      <c r="B21" s="20" t="n">
        <v>81.09999999999999</v>
      </c>
      <c r="C21" s="21" t="n">
        <v>70</v>
      </c>
    </row>
    <row r="22">
      <c r="B22" s="20" t="n">
        <v>81.59999999999999</v>
      </c>
      <c r="C22" s="21" t="n">
        <v>61</v>
      </c>
    </row>
    <row r="23">
      <c r="B23" s="20" t="n">
        <v>82.09999999999999</v>
      </c>
      <c r="C23" s="21" t="n">
        <v>89</v>
      </c>
    </row>
    <row r="24">
      <c r="B24" s="20" t="n">
        <v>83.3</v>
      </c>
      <c r="C24" s="21" t="n">
        <v>71</v>
      </c>
    </row>
    <row r="25">
      <c r="B25" s="20" t="n">
        <v>83.59999999999999</v>
      </c>
      <c r="C25" s="21" t="n">
        <v>75</v>
      </c>
    </row>
    <row r="26">
      <c r="B26" s="20" t="n">
        <v>83.8</v>
      </c>
      <c r="C26" s="21" t="n">
        <v>80.5</v>
      </c>
    </row>
    <row r="27">
      <c r="B27" s="20" t="n">
        <v>84.2</v>
      </c>
      <c r="C27" s="21" t="n">
        <v>86.5</v>
      </c>
    </row>
    <row r="28">
      <c r="B28" s="20" t="n">
        <v>84.40000000000001</v>
      </c>
      <c r="C28" s="21" t="n">
        <v>66</v>
      </c>
    </row>
    <row r="29">
      <c r="B29" s="20" t="n">
        <v>84.5</v>
      </c>
      <c r="C29" s="21" t="n">
        <v>87</v>
      </c>
    </row>
    <row r="30">
      <c r="B30" s="20" t="n">
        <v>84.59999999999999</v>
      </c>
      <c r="C30" s="21" t="n">
        <v>73.5</v>
      </c>
    </row>
    <row r="31">
      <c r="B31" s="20" t="n">
        <v>85.40000000000001</v>
      </c>
      <c r="C31" s="21" t="n">
        <v>79</v>
      </c>
    </row>
    <row r="32">
      <c r="B32" s="20" t="n">
        <v>85.5</v>
      </c>
      <c r="C32" s="21" t="n">
        <v>67</v>
      </c>
    </row>
    <row r="33">
      <c r="B33" s="20" t="n">
        <v>86.09999999999999</v>
      </c>
      <c r="C33" s="21" t="n">
        <v>72</v>
      </c>
    </row>
    <row r="34">
      <c r="B34" s="20" t="n">
        <v>86.3</v>
      </c>
      <c r="C34" s="21" t="n">
        <v>100</v>
      </c>
    </row>
    <row r="35">
      <c r="B35" s="20" t="n">
        <v>86.7</v>
      </c>
      <c r="C35" s="21" t="n">
        <v>93</v>
      </c>
    </row>
    <row r="36">
      <c r="B36" s="20" t="n">
        <v>87.09999999999999</v>
      </c>
      <c r="C36" s="21" t="n">
        <v>92</v>
      </c>
    </row>
    <row r="37">
      <c r="B37" s="20" t="n">
        <v>87.90000000000001</v>
      </c>
      <c r="C37" s="21" t="n">
        <v>87.5</v>
      </c>
    </row>
    <row r="38">
      <c r="B38" s="20" t="n">
        <v>88.40000000000001</v>
      </c>
      <c r="C38" s="21" t="n">
        <v>58</v>
      </c>
    </row>
    <row r="39">
      <c r="B39" s="20" t="n">
        <v>88.59999999999999</v>
      </c>
      <c r="C39" s="21" t="n">
        <v>81.5</v>
      </c>
    </row>
    <row r="40">
      <c r="B40" s="20" t="n">
        <v>88.7</v>
      </c>
      <c r="C40" s="21" t="n">
        <v>85</v>
      </c>
    </row>
    <row r="41">
      <c r="B41" s="20" t="n">
        <v>88.90000000000001</v>
      </c>
      <c r="C41" s="21" t="n">
        <v>74</v>
      </c>
    </row>
    <row r="42">
      <c r="B42" s="20" t="n">
        <v>89.09999999999999</v>
      </c>
      <c r="C42" s="21" t="n">
        <v>65</v>
      </c>
    </row>
    <row r="43">
      <c r="B43" s="20" t="n">
        <v>89.3</v>
      </c>
      <c r="C43" s="21" t="n">
        <v>76</v>
      </c>
    </row>
    <row r="44">
      <c r="B44" s="20" t="n">
        <v>89.90000000000001</v>
      </c>
      <c r="C44" s="21" t="n">
        <v>66</v>
      </c>
    </row>
    <row r="45">
      <c r="B45" s="20" t="n">
        <v>90</v>
      </c>
      <c r="C45" s="21" t="n">
        <v>82</v>
      </c>
    </row>
    <row r="46">
      <c r="B46" s="20" t="n">
        <v>90.59999999999999</v>
      </c>
      <c r="C46" s="21" t="n">
        <v>74</v>
      </c>
    </row>
    <row r="47">
      <c r="B47" s="20" t="n">
        <v>91.09999999999999</v>
      </c>
      <c r="C47" s="21" t="n">
        <v>78</v>
      </c>
    </row>
    <row r="48">
      <c r="B48" s="20" t="n">
        <v>91.2</v>
      </c>
      <c r="C48" s="21" t="n">
        <v>75</v>
      </c>
    </row>
    <row r="49">
      <c r="B49" s="20" t="n">
        <v>91.5</v>
      </c>
      <c r="C49" s="21" t="n">
        <v>97</v>
      </c>
    </row>
    <row r="50">
      <c r="B50" s="20" t="n">
        <v>91.7</v>
      </c>
      <c r="C50" s="21" t="n">
        <v>85</v>
      </c>
    </row>
    <row r="51">
      <c r="B51" s="20" t="n">
        <v>91.8</v>
      </c>
      <c r="C51" s="21" t="n">
        <v>85.5</v>
      </c>
    </row>
    <row r="52">
      <c r="B52" s="20" t="n">
        <v>92</v>
      </c>
      <c r="C52" s="21" t="n">
        <v>72</v>
      </c>
    </row>
    <row r="53">
      <c r="B53" s="20" t="n">
        <v>92.2</v>
      </c>
      <c r="C53" s="21" t="n">
        <v>88</v>
      </c>
    </row>
    <row r="54">
      <c r="B54" s="20" t="n">
        <v>92.40000000000001</v>
      </c>
      <c r="C54" s="21" t="n">
        <v>76</v>
      </c>
    </row>
    <row r="55">
      <c r="B55" s="20" t="n">
        <v>92.59999999999999</v>
      </c>
      <c r="C55" s="21" t="n">
        <v>88</v>
      </c>
    </row>
    <row r="56">
      <c r="B56" s="20" t="n">
        <v>93</v>
      </c>
      <c r="C56" s="21" t="n">
        <v>86</v>
      </c>
    </row>
    <row r="57">
      <c r="B57" s="20" t="n">
        <v>93.09999999999999</v>
      </c>
      <c r="C57" s="21" t="n">
        <v>81.66666666666667</v>
      </c>
    </row>
    <row r="58">
      <c r="B58" s="20" t="n">
        <v>93.3</v>
      </c>
      <c r="C58" s="21" t="n">
        <v>74.5</v>
      </c>
    </row>
    <row r="59">
      <c r="B59" s="20" t="n">
        <v>93.5</v>
      </c>
      <c r="C59" s="21" t="n">
        <v>87</v>
      </c>
    </row>
    <row r="60">
      <c r="B60" s="20" t="n">
        <v>93.59999999999999</v>
      </c>
      <c r="C60" s="21" t="n">
        <v>62.5</v>
      </c>
    </row>
    <row r="61">
      <c r="B61" s="20" t="n">
        <v>93.7</v>
      </c>
      <c r="C61" s="21" t="n">
        <v>65</v>
      </c>
    </row>
    <row r="62">
      <c r="B62" s="20" t="n">
        <v>93.8</v>
      </c>
      <c r="C62" s="21" t="n">
        <v>84</v>
      </c>
    </row>
    <row r="63">
      <c r="B63" s="20" t="n">
        <v>94</v>
      </c>
      <c r="C63" s="21" t="n">
        <v>69</v>
      </c>
    </row>
    <row r="64">
      <c r="B64" s="20" t="n">
        <v>94.59999999999999</v>
      </c>
      <c r="C64" s="21" t="n">
        <v>82.5</v>
      </c>
    </row>
    <row r="65">
      <c r="B65" s="20" t="n">
        <v>94.7</v>
      </c>
      <c r="C65" s="21" t="n">
        <v>100</v>
      </c>
    </row>
    <row r="66">
      <c r="B66" s="20" t="n">
        <v>94.90000000000001</v>
      </c>
      <c r="C66" s="21" t="n">
        <v>92.5</v>
      </c>
    </row>
    <row r="67">
      <c r="B67" s="20" t="n">
        <v>95.09999999999999</v>
      </c>
      <c r="C67" s="21" t="n">
        <v>79</v>
      </c>
    </row>
    <row r="68">
      <c r="B68" s="20" t="n">
        <v>95.2</v>
      </c>
      <c r="C68" s="21" t="n">
        <v>48</v>
      </c>
    </row>
    <row r="69">
      <c r="B69" s="20" t="n">
        <v>95.3</v>
      </c>
      <c r="C69" s="21" t="n">
        <v>64</v>
      </c>
    </row>
    <row r="70">
      <c r="B70" s="20" t="n">
        <v>95.40000000000001</v>
      </c>
      <c r="C70" s="21" t="n">
        <v>78</v>
      </c>
    </row>
    <row r="71">
      <c r="B71" s="20" t="n">
        <v>95.5</v>
      </c>
      <c r="C71" s="21" t="n">
        <v>83</v>
      </c>
    </row>
    <row r="72">
      <c r="B72" s="20" t="n">
        <v>95.59999999999999</v>
      </c>
      <c r="C72" s="21" t="n">
        <v>83</v>
      </c>
    </row>
    <row r="73">
      <c r="B73" s="20" t="n">
        <v>95.7</v>
      </c>
      <c r="C73" s="21" t="e">
        <v>#DIV/0!</v>
      </c>
    </row>
    <row r="74">
      <c r="B74" s="20" t="n">
        <v>95.90000000000001</v>
      </c>
      <c r="C74" s="21" t="n">
        <v>90</v>
      </c>
    </row>
    <row r="75">
      <c r="B75" s="20" t="n">
        <v>96</v>
      </c>
      <c r="C75" s="21" t="n">
        <v>79.5</v>
      </c>
    </row>
    <row r="76">
      <c r="B76" s="20" t="n">
        <v>96.2</v>
      </c>
      <c r="C76" s="21" t="n">
        <v>100</v>
      </c>
    </row>
    <row r="77">
      <c r="B77" s="20" t="n">
        <v>96.3</v>
      </c>
      <c r="C77" s="21" t="n">
        <v>85.5</v>
      </c>
    </row>
    <row r="78">
      <c r="B78" s="20" t="n">
        <v>96.8</v>
      </c>
      <c r="C78" s="21" t="n">
        <v>78</v>
      </c>
    </row>
    <row r="79">
      <c r="B79" s="20" t="n">
        <v>96.90000000000001</v>
      </c>
      <c r="C79" s="21" t="n">
        <v>67.5</v>
      </c>
    </row>
    <row r="80">
      <c r="B80" s="20" t="n">
        <v>97.2</v>
      </c>
      <c r="C80" s="21" t="n">
        <v>80</v>
      </c>
    </row>
    <row r="81">
      <c r="B81" s="20" t="n">
        <v>97.40000000000001</v>
      </c>
      <c r="C81" s="21" t="n">
        <v>61</v>
      </c>
    </row>
    <row r="82">
      <c r="B82" s="20" t="n">
        <v>97.59999999999999</v>
      </c>
      <c r="C82" s="21" t="n">
        <v>60</v>
      </c>
    </row>
    <row r="83">
      <c r="B83" s="20" t="n">
        <v>97.7</v>
      </c>
      <c r="C83" s="21" t="n">
        <v>77</v>
      </c>
    </row>
    <row r="84">
      <c r="B84" s="20" t="n">
        <v>98</v>
      </c>
      <c r="C84" s="21" t="n">
        <v>55</v>
      </c>
    </row>
    <row r="85">
      <c r="B85" s="20" t="n">
        <v>98.09999999999999</v>
      </c>
      <c r="C85" s="21" t="n">
        <v>83</v>
      </c>
    </row>
    <row r="86">
      <c r="B86" s="20" t="n">
        <v>98.2</v>
      </c>
      <c r="C86" s="21" t="n">
        <v>75</v>
      </c>
    </row>
    <row r="87">
      <c r="B87" s="20" t="n">
        <v>98.3</v>
      </c>
      <c r="C87" s="21" t="n">
        <v>79</v>
      </c>
    </row>
    <row r="88">
      <c r="B88" s="20" t="n">
        <v>98.40000000000001</v>
      </c>
      <c r="C88" s="21" t="n">
        <v>61.5</v>
      </c>
    </row>
    <row r="89">
      <c r="B89" s="20" t="n">
        <v>98.59999999999999</v>
      </c>
      <c r="C89" s="21" t="n">
        <v>76</v>
      </c>
    </row>
    <row r="90">
      <c r="B90" s="20" t="n">
        <v>98.8</v>
      </c>
      <c r="C90" s="21" t="n">
        <v>78</v>
      </c>
    </row>
    <row r="91">
      <c r="B91" s="20" t="n">
        <v>98.90000000000001</v>
      </c>
      <c r="C91" s="21" t="n">
        <v>68</v>
      </c>
    </row>
    <row r="92">
      <c r="B92" s="20" t="n">
        <v>99</v>
      </c>
      <c r="C92" s="21" t="n">
        <v>100</v>
      </c>
    </row>
    <row r="93">
      <c r="B93" s="20" t="n">
        <v>99.3</v>
      </c>
      <c r="C93" s="21" t="n">
        <v>60</v>
      </c>
    </row>
    <row r="94">
      <c r="B94" s="20" t="n">
        <v>99.40000000000001</v>
      </c>
      <c r="C94" s="21" t="n">
        <v>81.5</v>
      </c>
    </row>
    <row r="95">
      <c r="B95" s="20" t="n">
        <v>100</v>
      </c>
      <c r="C95" s="21" t="n">
        <v>79.66666666666667</v>
      </c>
    </row>
    <row r="96">
      <c r="B96" s="20" t="inlineStr">
        <is>
          <t>Not Available</t>
        </is>
      </c>
      <c r="C96" s="21" t="n">
        <v>73.5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Tarini</dc:creator>
  <dc:title xmlns:dc="http://purl.org/dc/elements/1.1/">Quad Prep Data Specialist Portfolio Project</dc:title>
  <dc:subject xmlns:dc="http://purl.org/dc/elements/1.1/">Student data quality, analysis, and leadership dashboard</dc:subject>
  <dcterms:created xmlns:dcterms="http://purl.org/dc/terms/" xmlns:xsi="http://www.w3.org/2001/XMLSchema-instance" xsi:type="dcterms:W3CDTF">2026-08-23T16:27:11Z</dcterms:created>
  <dcterms:modified xmlns:dcterms="http://purl.org/dc/terms/" xmlns:xsi="http://www.w3.org/2001/XMLSchema-instance" xsi:type="dcterms:W3CDTF">2026-08-25T14:02:21Z</dcterms:modified>
  <cp:lastModifiedBy>Tarini Akula Ramesh</cp:lastModifiedBy>
</cp:coreProperties>
</file>