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3.xml" ContentType="application/vnd.ms-excel.person+xml"/>
  <Override PartName="/xl/persons/person1.xml" ContentType="application/vnd.ms-excel.person+xml"/>
  <Override PartName="/xl/persons/person2.xml" ContentType="application/vnd.ms-excel.person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a85373c15b3b8d/Desktop/k12-student-DA/data/cleaned/"/>
    </mc:Choice>
  </mc:AlternateContent>
  <xr:revisionPtr revIDLastSave="0" documentId="8_{24865E83-5F42-4305-AB02-DA729EF2FE30}" xr6:coauthVersionLast="47" xr6:coauthVersionMax="47" xr10:uidLastSave="{00000000-0000-0000-0000-000000000000}"/>
  <bookViews>
    <workbookView xWindow="-120" yWindow="-120" windowWidth="20730" windowHeight="11040" firstSheet="9" activeTab="11" xr2:uid="{CCBD8E8A-A993-4F15-8AD9-6183CBF7EC98}"/>
  </bookViews>
  <sheets>
    <sheet name="Data_Dictionary" sheetId="1" r:id="rId1"/>
    <sheet name="Data_Model1" sheetId="2" r:id="rId2"/>
    <sheet name="Student_Analysis_Ready" sheetId="3" r:id="rId3"/>
    <sheet name="Attendence_Analysis_Ready" sheetId="4" r:id="rId4"/>
    <sheet name="Assessment_Analysis_Ready" sheetId="5" r:id="rId5"/>
    <sheet name="Discipline_Analysis_Ready" sheetId="6" r:id="rId6"/>
    <sheet name="Data_Quality_Log" sheetId="7" r:id="rId7"/>
    <sheet name="Student_Outcome_Analysis" sheetId="8" r:id="rId8"/>
    <sheet name="Grade Analysis" sheetId="9" r:id="rId9"/>
    <sheet name="Program Analysis" sheetId="10" r:id="rId10"/>
    <sheet name="Attendance VS Assessment" sheetId="11" r:id="rId11"/>
    <sheet name="Leadership Dashboard" sheetId="12" r:id="rId12"/>
    <sheet name="Dashboard Data" sheetId="13" r:id="rId13"/>
  </sheets>
  <calcPr calcId="181029" iterateDelta="1E-4"/>
  <pivotCaches>
    <pivotCache cacheId="0" r:id="rId14"/>
    <pivotCache cacheId="2" r:id="rId15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8" l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2" i="8"/>
  <c r="G4" i="12"/>
  <c r="C4" i="12"/>
  <c r="A4" i="12"/>
  <c r="L118" i="8"/>
  <c r="K118" i="8"/>
  <c r="J118" i="8"/>
  <c r="H118" i="8"/>
  <c r="G118" i="8"/>
  <c r="F118" i="8"/>
  <c r="E118" i="8"/>
  <c r="D118" i="8"/>
  <c r="C118" i="8"/>
  <c r="B118" i="8"/>
  <c r="L117" i="8"/>
  <c r="K117" i="8"/>
  <c r="J117" i="8"/>
  <c r="H117" i="8"/>
  <c r="G117" i="8"/>
  <c r="F117" i="8"/>
  <c r="E117" i="8"/>
  <c r="D117" i="8"/>
  <c r="C117" i="8"/>
  <c r="B117" i="8"/>
  <c r="L116" i="8"/>
  <c r="K116" i="8"/>
  <c r="J116" i="8"/>
  <c r="H116" i="8"/>
  <c r="G116" i="8"/>
  <c r="F116" i="8"/>
  <c r="E116" i="8"/>
  <c r="D116" i="8"/>
  <c r="C116" i="8"/>
  <c r="B116" i="8"/>
  <c r="L115" i="8"/>
  <c r="K115" i="8"/>
  <c r="J115" i="8"/>
  <c r="H115" i="8"/>
  <c r="G115" i="8"/>
  <c r="F115" i="8"/>
  <c r="E115" i="8"/>
  <c r="D115" i="8"/>
  <c r="C115" i="8"/>
  <c r="B115" i="8"/>
  <c r="L114" i="8"/>
  <c r="K114" i="8"/>
  <c r="J114" i="8"/>
  <c r="H114" i="8"/>
  <c r="G114" i="8"/>
  <c r="F114" i="8"/>
  <c r="E114" i="8"/>
  <c r="D114" i="8"/>
  <c r="C114" i="8"/>
  <c r="B114" i="8"/>
  <c r="L113" i="8"/>
  <c r="K113" i="8"/>
  <c r="J113" i="8"/>
  <c r="H113" i="8"/>
  <c r="G113" i="8"/>
  <c r="F113" i="8"/>
  <c r="E113" i="8"/>
  <c r="D113" i="8"/>
  <c r="C113" i="8"/>
  <c r="B113" i="8"/>
  <c r="L112" i="8"/>
  <c r="K112" i="8"/>
  <c r="J112" i="8"/>
  <c r="H112" i="8"/>
  <c r="G112" i="8"/>
  <c r="F112" i="8"/>
  <c r="E112" i="8"/>
  <c r="D112" i="8"/>
  <c r="C112" i="8"/>
  <c r="B112" i="8"/>
  <c r="L111" i="8"/>
  <c r="K111" i="8"/>
  <c r="J111" i="8"/>
  <c r="H111" i="8"/>
  <c r="G111" i="8"/>
  <c r="F111" i="8"/>
  <c r="E111" i="8"/>
  <c r="D111" i="8"/>
  <c r="C111" i="8"/>
  <c r="B111" i="8"/>
  <c r="L110" i="8"/>
  <c r="K110" i="8"/>
  <c r="J110" i="8"/>
  <c r="H110" i="8"/>
  <c r="G110" i="8"/>
  <c r="F110" i="8"/>
  <c r="E110" i="8"/>
  <c r="D110" i="8"/>
  <c r="C110" i="8"/>
  <c r="B110" i="8"/>
  <c r="L109" i="8"/>
  <c r="K109" i="8"/>
  <c r="J109" i="8"/>
  <c r="H109" i="8"/>
  <c r="G109" i="8"/>
  <c r="F109" i="8"/>
  <c r="E109" i="8"/>
  <c r="D109" i="8"/>
  <c r="C109" i="8"/>
  <c r="B109" i="8"/>
  <c r="L108" i="8"/>
  <c r="K108" i="8"/>
  <c r="J108" i="8"/>
  <c r="H108" i="8"/>
  <c r="G108" i="8"/>
  <c r="F108" i="8"/>
  <c r="E108" i="8"/>
  <c r="D108" i="8"/>
  <c r="C108" i="8"/>
  <c r="B108" i="8"/>
  <c r="L107" i="8"/>
  <c r="K107" i="8"/>
  <c r="J107" i="8"/>
  <c r="H107" i="8"/>
  <c r="G107" i="8"/>
  <c r="F107" i="8"/>
  <c r="E107" i="8"/>
  <c r="D107" i="8"/>
  <c r="C107" i="8"/>
  <c r="B107" i="8"/>
  <c r="L106" i="8"/>
  <c r="K106" i="8"/>
  <c r="J106" i="8"/>
  <c r="H106" i="8"/>
  <c r="G106" i="8"/>
  <c r="F106" i="8"/>
  <c r="E106" i="8"/>
  <c r="D106" i="8"/>
  <c r="C106" i="8"/>
  <c r="B106" i="8"/>
  <c r="L105" i="8"/>
  <c r="K105" i="8"/>
  <c r="J105" i="8"/>
  <c r="H105" i="8"/>
  <c r="G105" i="8"/>
  <c r="F105" i="8"/>
  <c r="E105" i="8"/>
  <c r="D105" i="8"/>
  <c r="C105" i="8"/>
  <c r="B105" i="8"/>
  <c r="L104" i="8"/>
  <c r="K104" i="8"/>
  <c r="J104" i="8"/>
  <c r="H104" i="8"/>
  <c r="G104" i="8"/>
  <c r="F104" i="8"/>
  <c r="E104" i="8"/>
  <c r="D104" i="8"/>
  <c r="C104" i="8"/>
  <c r="B104" i="8"/>
  <c r="L103" i="8"/>
  <c r="K103" i="8"/>
  <c r="J103" i="8"/>
  <c r="H103" i="8"/>
  <c r="G103" i="8"/>
  <c r="F103" i="8"/>
  <c r="E103" i="8"/>
  <c r="D103" i="8"/>
  <c r="C103" i="8"/>
  <c r="B103" i="8"/>
  <c r="L102" i="8"/>
  <c r="K102" i="8"/>
  <c r="J102" i="8"/>
  <c r="H102" i="8"/>
  <c r="G102" i="8"/>
  <c r="F102" i="8"/>
  <c r="E102" i="8"/>
  <c r="D102" i="8"/>
  <c r="C102" i="8"/>
  <c r="B102" i="8"/>
  <c r="L101" i="8"/>
  <c r="K101" i="8"/>
  <c r="J101" i="8"/>
  <c r="H101" i="8"/>
  <c r="G101" i="8"/>
  <c r="F101" i="8"/>
  <c r="E101" i="8"/>
  <c r="D101" i="8"/>
  <c r="C101" i="8"/>
  <c r="B101" i="8"/>
  <c r="L100" i="8"/>
  <c r="K100" i="8"/>
  <c r="J100" i="8"/>
  <c r="H100" i="8"/>
  <c r="G100" i="8"/>
  <c r="F100" i="8"/>
  <c r="E100" i="8"/>
  <c r="D100" i="8"/>
  <c r="C100" i="8"/>
  <c r="B100" i="8"/>
  <c r="L99" i="8"/>
  <c r="K99" i="8"/>
  <c r="J99" i="8"/>
  <c r="H99" i="8"/>
  <c r="G99" i="8"/>
  <c r="F99" i="8"/>
  <c r="E99" i="8"/>
  <c r="D99" i="8"/>
  <c r="C99" i="8"/>
  <c r="B99" i="8"/>
  <c r="L98" i="8"/>
  <c r="K98" i="8"/>
  <c r="J98" i="8"/>
  <c r="H98" i="8"/>
  <c r="G98" i="8"/>
  <c r="F98" i="8"/>
  <c r="E98" i="8"/>
  <c r="D98" i="8"/>
  <c r="C98" i="8"/>
  <c r="B98" i="8"/>
  <c r="L97" i="8"/>
  <c r="K97" i="8"/>
  <c r="J97" i="8"/>
  <c r="H97" i="8"/>
  <c r="G97" i="8"/>
  <c r="F97" i="8"/>
  <c r="E97" i="8"/>
  <c r="D97" i="8"/>
  <c r="C97" i="8"/>
  <c r="B97" i="8"/>
  <c r="L96" i="8"/>
  <c r="K96" i="8"/>
  <c r="J96" i="8"/>
  <c r="H96" i="8"/>
  <c r="G96" i="8"/>
  <c r="F96" i="8"/>
  <c r="E96" i="8"/>
  <c r="D96" i="8"/>
  <c r="C96" i="8"/>
  <c r="B96" i="8"/>
  <c r="L95" i="8"/>
  <c r="K95" i="8"/>
  <c r="J95" i="8"/>
  <c r="H95" i="8"/>
  <c r="G95" i="8"/>
  <c r="F95" i="8"/>
  <c r="E95" i="8"/>
  <c r="D95" i="8"/>
  <c r="C95" i="8"/>
  <c r="B95" i="8"/>
  <c r="L94" i="8"/>
  <c r="K94" i="8"/>
  <c r="J94" i="8"/>
  <c r="H94" i="8"/>
  <c r="G94" i="8"/>
  <c r="F94" i="8"/>
  <c r="E94" i="8"/>
  <c r="D94" i="8"/>
  <c r="C94" i="8"/>
  <c r="B94" i="8"/>
  <c r="L93" i="8"/>
  <c r="K93" i="8"/>
  <c r="J93" i="8"/>
  <c r="H93" i="8"/>
  <c r="G93" i="8"/>
  <c r="F93" i="8"/>
  <c r="E93" i="8"/>
  <c r="D93" i="8"/>
  <c r="C93" i="8"/>
  <c r="B93" i="8"/>
  <c r="L92" i="8"/>
  <c r="K92" i="8"/>
  <c r="J92" i="8"/>
  <c r="H92" i="8"/>
  <c r="G92" i="8"/>
  <c r="F92" i="8"/>
  <c r="E92" i="8"/>
  <c r="D92" i="8"/>
  <c r="C92" i="8"/>
  <c r="B92" i="8"/>
  <c r="L91" i="8"/>
  <c r="K91" i="8"/>
  <c r="J91" i="8"/>
  <c r="H91" i="8"/>
  <c r="G91" i="8"/>
  <c r="F91" i="8"/>
  <c r="E91" i="8"/>
  <c r="D91" i="8"/>
  <c r="C91" i="8"/>
  <c r="B91" i="8"/>
  <c r="L90" i="8"/>
  <c r="K90" i="8"/>
  <c r="J90" i="8"/>
  <c r="H90" i="8"/>
  <c r="G90" i="8"/>
  <c r="F90" i="8"/>
  <c r="E90" i="8"/>
  <c r="D90" i="8"/>
  <c r="C90" i="8"/>
  <c r="B90" i="8"/>
  <c r="L89" i="8"/>
  <c r="K89" i="8"/>
  <c r="J89" i="8"/>
  <c r="H89" i="8"/>
  <c r="G89" i="8"/>
  <c r="F89" i="8"/>
  <c r="E89" i="8"/>
  <c r="D89" i="8"/>
  <c r="C89" i="8"/>
  <c r="B89" i="8"/>
  <c r="L88" i="8"/>
  <c r="K88" i="8"/>
  <c r="J88" i="8"/>
  <c r="H88" i="8"/>
  <c r="G88" i="8"/>
  <c r="F88" i="8"/>
  <c r="E88" i="8"/>
  <c r="D88" i="8"/>
  <c r="C88" i="8"/>
  <c r="B88" i="8"/>
  <c r="L87" i="8"/>
  <c r="K87" i="8"/>
  <c r="J87" i="8"/>
  <c r="H87" i="8"/>
  <c r="G87" i="8"/>
  <c r="F87" i="8"/>
  <c r="E87" i="8"/>
  <c r="D87" i="8"/>
  <c r="C87" i="8"/>
  <c r="B87" i="8"/>
  <c r="L86" i="8"/>
  <c r="K86" i="8"/>
  <c r="J86" i="8"/>
  <c r="H86" i="8"/>
  <c r="G86" i="8"/>
  <c r="F86" i="8"/>
  <c r="E86" i="8"/>
  <c r="D86" i="8"/>
  <c r="C86" i="8"/>
  <c r="B86" i="8"/>
  <c r="L85" i="8"/>
  <c r="K85" i="8"/>
  <c r="J85" i="8"/>
  <c r="H85" i="8"/>
  <c r="G85" i="8"/>
  <c r="F85" i="8"/>
  <c r="E85" i="8"/>
  <c r="D85" i="8"/>
  <c r="C85" i="8"/>
  <c r="B85" i="8"/>
  <c r="L84" i="8"/>
  <c r="K84" i="8"/>
  <c r="J84" i="8"/>
  <c r="H84" i="8"/>
  <c r="G84" i="8"/>
  <c r="F84" i="8"/>
  <c r="E84" i="8"/>
  <c r="D84" i="8"/>
  <c r="C84" i="8"/>
  <c r="B84" i="8"/>
  <c r="L83" i="8"/>
  <c r="K83" i="8"/>
  <c r="J83" i="8"/>
  <c r="H83" i="8"/>
  <c r="G83" i="8"/>
  <c r="F83" i="8"/>
  <c r="E83" i="8"/>
  <c r="D83" i="8"/>
  <c r="C83" i="8"/>
  <c r="B83" i="8"/>
  <c r="L82" i="8"/>
  <c r="K82" i="8"/>
  <c r="J82" i="8"/>
  <c r="H82" i="8"/>
  <c r="G82" i="8"/>
  <c r="F82" i="8"/>
  <c r="E82" i="8"/>
  <c r="D82" i="8"/>
  <c r="C82" i="8"/>
  <c r="B82" i="8"/>
  <c r="L81" i="8"/>
  <c r="K81" i="8"/>
  <c r="J81" i="8"/>
  <c r="H81" i="8"/>
  <c r="G81" i="8"/>
  <c r="F81" i="8"/>
  <c r="E81" i="8"/>
  <c r="D81" i="8"/>
  <c r="C81" i="8"/>
  <c r="B81" i="8"/>
  <c r="L80" i="8"/>
  <c r="K80" i="8"/>
  <c r="J80" i="8"/>
  <c r="H80" i="8"/>
  <c r="G80" i="8"/>
  <c r="F80" i="8"/>
  <c r="E80" i="8"/>
  <c r="D80" i="8"/>
  <c r="C80" i="8"/>
  <c r="B80" i="8"/>
  <c r="L79" i="8"/>
  <c r="K79" i="8"/>
  <c r="J79" i="8"/>
  <c r="H79" i="8"/>
  <c r="G79" i="8"/>
  <c r="F79" i="8"/>
  <c r="E79" i="8"/>
  <c r="D79" i="8"/>
  <c r="C79" i="8"/>
  <c r="B79" i="8"/>
  <c r="L78" i="8"/>
  <c r="K78" i="8"/>
  <c r="J78" i="8"/>
  <c r="H78" i="8"/>
  <c r="G78" i="8"/>
  <c r="F78" i="8"/>
  <c r="E78" i="8"/>
  <c r="D78" i="8"/>
  <c r="C78" i="8"/>
  <c r="B78" i="8"/>
  <c r="L77" i="8"/>
  <c r="K77" i="8"/>
  <c r="J77" i="8"/>
  <c r="H77" i="8"/>
  <c r="G77" i="8"/>
  <c r="F77" i="8"/>
  <c r="E77" i="8"/>
  <c r="D77" i="8"/>
  <c r="C77" i="8"/>
  <c r="B77" i="8"/>
  <c r="L76" i="8"/>
  <c r="K76" i="8"/>
  <c r="J76" i="8"/>
  <c r="H76" i="8"/>
  <c r="G76" i="8"/>
  <c r="F76" i="8"/>
  <c r="E76" i="8"/>
  <c r="D76" i="8"/>
  <c r="C76" i="8"/>
  <c r="B76" i="8"/>
  <c r="L75" i="8"/>
  <c r="K75" i="8"/>
  <c r="J75" i="8"/>
  <c r="H75" i="8"/>
  <c r="G75" i="8"/>
  <c r="F75" i="8"/>
  <c r="E75" i="8"/>
  <c r="D75" i="8"/>
  <c r="C75" i="8"/>
  <c r="B75" i="8"/>
  <c r="L74" i="8"/>
  <c r="K74" i="8"/>
  <c r="J74" i="8"/>
  <c r="H74" i="8"/>
  <c r="G74" i="8"/>
  <c r="F74" i="8"/>
  <c r="E74" i="8"/>
  <c r="D74" i="8"/>
  <c r="C74" i="8"/>
  <c r="B74" i="8"/>
  <c r="L73" i="8"/>
  <c r="K73" i="8"/>
  <c r="J73" i="8"/>
  <c r="H73" i="8"/>
  <c r="G73" i="8"/>
  <c r="F73" i="8"/>
  <c r="E73" i="8"/>
  <c r="D73" i="8"/>
  <c r="C73" i="8"/>
  <c r="B73" i="8"/>
  <c r="L72" i="8"/>
  <c r="K72" i="8"/>
  <c r="J72" i="8"/>
  <c r="H72" i="8"/>
  <c r="G72" i="8"/>
  <c r="F72" i="8"/>
  <c r="E72" i="8"/>
  <c r="D72" i="8"/>
  <c r="C72" i="8"/>
  <c r="B72" i="8"/>
  <c r="L71" i="8"/>
  <c r="K71" i="8"/>
  <c r="J71" i="8"/>
  <c r="H71" i="8"/>
  <c r="G71" i="8"/>
  <c r="F71" i="8"/>
  <c r="E71" i="8"/>
  <c r="D71" i="8"/>
  <c r="C71" i="8"/>
  <c r="B71" i="8"/>
  <c r="L70" i="8"/>
  <c r="K70" i="8"/>
  <c r="J70" i="8"/>
  <c r="H70" i="8"/>
  <c r="G70" i="8"/>
  <c r="F70" i="8"/>
  <c r="E70" i="8"/>
  <c r="D70" i="8"/>
  <c r="C70" i="8"/>
  <c r="B70" i="8"/>
  <c r="L69" i="8"/>
  <c r="K69" i="8"/>
  <c r="J69" i="8"/>
  <c r="H69" i="8"/>
  <c r="G69" i="8"/>
  <c r="F69" i="8"/>
  <c r="E69" i="8"/>
  <c r="D69" i="8"/>
  <c r="C69" i="8"/>
  <c r="B69" i="8"/>
  <c r="L68" i="8"/>
  <c r="K68" i="8"/>
  <c r="J68" i="8"/>
  <c r="H68" i="8"/>
  <c r="G68" i="8"/>
  <c r="F68" i="8"/>
  <c r="E68" i="8"/>
  <c r="D68" i="8"/>
  <c r="C68" i="8"/>
  <c r="B68" i="8"/>
  <c r="L67" i="8"/>
  <c r="K67" i="8"/>
  <c r="J67" i="8"/>
  <c r="H67" i="8"/>
  <c r="G67" i="8"/>
  <c r="F67" i="8"/>
  <c r="E67" i="8"/>
  <c r="D67" i="8"/>
  <c r="C67" i="8"/>
  <c r="B67" i="8"/>
  <c r="L66" i="8"/>
  <c r="K66" i="8"/>
  <c r="J66" i="8"/>
  <c r="H66" i="8"/>
  <c r="G66" i="8"/>
  <c r="F66" i="8"/>
  <c r="E66" i="8"/>
  <c r="D66" i="8"/>
  <c r="C66" i="8"/>
  <c r="B66" i="8"/>
  <c r="L65" i="8"/>
  <c r="K65" i="8"/>
  <c r="J65" i="8"/>
  <c r="H65" i="8"/>
  <c r="G65" i="8"/>
  <c r="F65" i="8"/>
  <c r="E65" i="8"/>
  <c r="D65" i="8"/>
  <c r="C65" i="8"/>
  <c r="B65" i="8"/>
  <c r="L64" i="8"/>
  <c r="K64" i="8"/>
  <c r="J64" i="8"/>
  <c r="H64" i="8"/>
  <c r="G64" i="8"/>
  <c r="F64" i="8"/>
  <c r="E64" i="8"/>
  <c r="D64" i="8"/>
  <c r="C64" i="8"/>
  <c r="B64" i="8"/>
  <c r="L63" i="8"/>
  <c r="K63" i="8"/>
  <c r="J63" i="8"/>
  <c r="H63" i="8"/>
  <c r="G63" i="8"/>
  <c r="F63" i="8"/>
  <c r="E63" i="8"/>
  <c r="D63" i="8"/>
  <c r="C63" i="8"/>
  <c r="B63" i="8"/>
  <c r="L62" i="8"/>
  <c r="K62" i="8"/>
  <c r="J62" i="8"/>
  <c r="H62" i="8"/>
  <c r="G62" i="8"/>
  <c r="F62" i="8"/>
  <c r="E62" i="8"/>
  <c r="D62" i="8"/>
  <c r="C62" i="8"/>
  <c r="B62" i="8"/>
  <c r="L61" i="8"/>
  <c r="K61" i="8"/>
  <c r="J61" i="8"/>
  <c r="H61" i="8"/>
  <c r="G61" i="8"/>
  <c r="F61" i="8"/>
  <c r="E61" i="8"/>
  <c r="D61" i="8"/>
  <c r="C61" i="8"/>
  <c r="B61" i="8"/>
  <c r="L60" i="8"/>
  <c r="K60" i="8"/>
  <c r="J60" i="8"/>
  <c r="H60" i="8"/>
  <c r="G60" i="8"/>
  <c r="F60" i="8"/>
  <c r="E60" i="8"/>
  <c r="D60" i="8"/>
  <c r="C60" i="8"/>
  <c r="B60" i="8"/>
  <c r="L59" i="8"/>
  <c r="K59" i="8"/>
  <c r="J59" i="8"/>
  <c r="H59" i="8"/>
  <c r="G59" i="8"/>
  <c r="F59" i="8"/>
  <c r="E59" i="8"/>
  <c r="D59" i="8"/>
  <c r="C59" i="8"/>
  <c r="B59" i="8"/>
  <c r="L58" i="8"/>
  <c r="K58" i="8"/>
  <c r="J58" i="8"/>
  <c r="H58" i="8"/>
  <c r="G58" i="8"/>
  <c r="F58" i="8"/>
  <c r="E58" i="8"/>
  <c r="D58" i="8"/>
  <c r="C58" i="8"/>
  <c r="B58" i="8"/>
  <c r="L57" i="8"/>
  <c r="K57" i="8"/>
  <c r="J57" i="8"/>
  <c r="H57" i="8"/>
  <c r="G57" i="8"/>
  <c r="F57" i="8"/>
  <c r="E57" i="8"/>
  <c r="D57" i="8"/>
  <c r="C57" i="8"/>
  <c r="B57" i="8"/>
  <c r="L56" i="8"/>
  <c r="K56" i="8"/>
  <c r="J56" i="8"/>
  <c r="H56" i="8"/>
  <c r="G56" i="8"/>
  <c r="F56" i="8"/>
  <c r="E56" i="8"/>
  <c r="D56" i="8"/>
  <c r="C56" i="8"/>
  <c r="B56" i="8"/>
  <c r="L55" i="8"/>
  <c r="K55" i="8"/>
  <c r="J55" i="8"/>
  <c r="H55" i="8"/>
  <c r="G55" i="8"/>
  <c r="F55" i="8"/>
  <c r="E55" i="8"/>
  <c r="D55" i="8"/>
  <c r="C55" i="8"/>
  <c r="B55" i="8"/>
  <c r="L54" i="8"/>
  <c r="K54" i="8"/>
  <c r="J54" i="8"/>
  <c r="H54" i="8"/>
  <c r="G54" i="8"/>
  <c r="F54" i="8"/>
  <c r="E54" i="8"/>
  <c r="D54" i="8"/>
  <c r="C54" i="8"/>
  <c r="B54" i="8"/>
  <c r="L53" i="8"/>
  <c r="K53" i="8"/>
  <c r="J53" i="8"/>
  <c r="H53" i="8"/>
  <c r="G53" i="8"/>
  <c r="F53" i="8"/>
  <c r="E53" i="8"/>
  <c r="D53" i="8"/>
  <c r="C53" i="8"/>
  <c r="B53" i="8"/>
  <c r="L52" i="8"/>
  <c r="K52" i="8"/>
  <c r="J52" i="8"/>
  <c r="H52" i="8"/>
  <c r="G52" i="8"/>
  <c r="F52" i="8"/>
  <c r="E52" i="8"/>
  <c r="D52" i="8"/>
  <c r="C52" i="8"/>
  <c r="B52" i="8"/>
  <c r="L51" i="8"/>
  <c r="K51" i="8"/>
  <c r="J51" i="8"/>
  <c r="H51" i="8"/>
  <c r="G51" i="8"/>
  <c r="F51" i="8"/>
  <c r="E51" i="8"/>
  <c r="D51" i="8"/>
  <c r="C51" i="8"/>
  <c r="B51" i="8"/>
  <c r="L50" i="8"/>
  <c r="K50" i="8"/>
  <c r="J50" i="8"/>
  <c r="H50" i="8"/>
  <c r="G50" i="8"/>
  <c r="F50" i="8"/>
  <c r="E50" i="8"/>
  <c r="D50" i="8"/>
  <c r="C50" i="8"/>
  <c r="B50" i="8"/>
  <c r="L49" i="8"/>
  <c r="K49" i="8"/>
  <c r="J49" i="8"/>
  <c r="H49" i="8"/>
  <c r="G49" i="8"/>
  <c r="F49" i="8"/>
  <c r="E49" i="8"/>
  <c r="D49" i="8"/>
  <c r="C49" i="8"/>
  <c r="B49" i="8"/>
  <c r="L48" i="8"/>
  <c r="K48" i="8"/>
  <c r="J48" i="8"/>
  <c r="H48" i="8"/>
  <c r="G48" i="8"/>
  <c r="F48" i="8"/>
  <c r="E48" i="8"/>
  <c r="D48" i="8"/>
  <c r="C48" i="8"/>
  <c r="B48" i="8"/>
  <c r="L47" i="8"/>
  <c r="K47" i="8"/>
  <c r="J47" i="8"/>
  <c r="H47" i="8"/>
  <c r="G47" i="8"/>
  <c r="F47" i="8"/>
  <c r="E47" i="8"/>
  <c r="D47" i="8"/>
  <c r="C47" i="8"/>
  <c r="B47" i="8"/>
  <c r="L46" i="8"/>
  <c r="K46" i="8"/>
  <c r="J46" i="8"/>
  <c r="H46" i="8"/>
  <c r="G46" i="8"/>
  <c r="F46" i="8"/>
  <c r="E46" i="8"/>
  <c r="D46" i="8"/>
  <c r="C46" i="8"/>
  <c r="B46" i="8"/>
  <c r="L45" i="8"/>
  <c r="K45" i="8"/>
  <c r="J45" i="8"/>
  <c r="H45" i="8"/>
  <c r="G45" i="8"/>
  <c r="F45" i="8"/>
  <c r="E45" i="8"/>
  <c r="D45" i="8"/>
  <c r="C45" i="8"/>
  <c r="B45" i="8"/>
  <c r="L44" i="8"/>
  <c r="K44" i="8"/>
  <c r="J44" i="8"/>
  <c r="H44" i="8"/>
  <c r="G44" i="8"/>
  <c r="F44" i="8"/>
  <c r="E44" i="8"/>
  <c r="D44" i="8"/>
  <c r="C44" i="8"/>
  <c r="B44" i="8"/>
  <c r="L43" i="8"/>
  <c r="K43" i="8"/>
  <c r="J43" i="8"/>
  <c r="H43" i="8"/>
  <c r="G43" i="8"/>
  <c r="F43" i="8"/>
  <c r="E43" i="8"/>
  <c r="D43" i="8"/>
  <c r="C43" i="8"/>
  <c r="B43" i="8"/>
  <c r="L42" i="8"/>
  <c r="K42" i="8"/>
  <c r="J42" i="8"/>
  <c r="H42" i="8"/>
  <c r="G42" i="8"/>
  <c r="F42" i="8"/>
  <c r="E42" i="8"/>
  <c r="D42" i="8"/>
  <c r="C42" i="8"/>
  <c r="B42" i="8"/>
  <c r="L41" i="8"/>
  <c r="K41" i="8"/>
  <c r="J41" i="8"/>
  <c r="H41" i="8"/>
  <c r="G41" i="8"/>
  <c r="F41" i="8"/>
  <c r="E41" i="8"/>
  <c r="D41" i="8"/>
  <c r="C41" i="8"/>
  <c r="B41" i="8"/>
  <c r="L40" i="8"/>
  <c r="K40" i="8"/>
  <c r="J40" i="8"/>
  <c r="H40" i="8"/>
  <c r="G40" i="8"/>
  <c r="F40" i="8"/>
  <c r="E40" i="8"/>
  <c r="D40" i="8"/>
  <c r="C40" i="8"/>
  <c r="B40" i="8"/>
  <c r="L39" i="8"/>
  <c r="K39" i="8"/>
  <c r="J39" i="8"/>
  <c r="H39" i="8"/>
  <c r="G39" i="8"/>
  <c r="F39" i="8"/>
  <c r="E39" i="8"/>
  <c r="D39" i="8"/>
  <c r="C39" i="8"/>
  <c r="B39" i="8"/>
  <c r="L38" i="8"/>
  <c r="K38" i="8"/>
  <c r="J38" i="8"/>
  <c r="H38" i="8"/>
  <c r="G38" i="8"/>
  <c r="F38" i="8"/>
  <c r="E38" i="8"/>
  <c r="D38" i="8"/>
  <c r="C38" i="8"/>
  <c r="B38" i="8"/>
  <c r="L37" i="8"/>
  <c r="K37" i="8"/>
  <c r="J37" i="8"/>
  <c r="H37" i="8"/>
  <c r="G37" i="8"/>
  <c r="F37" i="8"/>
  <c r="E37" i="8"/>
  <c r="D37" i="8"/>
  <c r="C37" i="8"/>
  <c r="B37" i="8"/>
  <c r="L36" i="8"/>
  <c r="K36" i="8"/>
  <c r="J36" i="8"/>
  <c r="H36" i="8"/>
  <c r="G36" i="8"/>
  <c r="F36" i="8"/>
  <c r="E36" i="8"/>
  <c r="D36" i="8"/>
  <c r="C36" i="8"/>
  <c r="B36" i="8"/>
  <c r="L35" i="8"/>
  <c r="K35" i="8"/>
  <c r="J35" i="8"/>
  <c r="H35" i="8"/>
  <c r="G35" i="8"/>
  <c r="F35" i="8"/>
  <c r="E35" i="8"/>
  <c r="D35" i="8"/>
  <c r="C35" i="8"/>
  <c r="B35" i="8"/>
  <c r="L34" i="8"/>
  <c r="K34" i="8"/>
  <c r="J34" i="8"/>
  <c r="H34" i="8"/>
  <c r="G34" i="8"/>
  <c r="F34" i="8"/>
  <c r="E34" i="8"/>
  <c r="D34" i="8"/>
  <c r="C34" i="8"/>
  <c r="B34" i="8"/>
  <c r="L33" i="8"/>
  <c r="K33" i="8"/>
  <c r="J33" i="8"/>
  <c r="H33" i="8"/>
  <c r="G33" i="8"/>
  <c r="F33" i="8"/>
  <c r="E33" i="8"/>
  <c r="D33" i="8"/>
  <c r="C33" i="8"/>
  <c r="B33" i="8"/>
  <c r="L32" i="8"/>
  <c r="K32" i="8"/>
  <c r="J32" i="8"/>
  <c r="H32" i="8"/>
  <c r="G32" i="8"/>
  <c r="F32" i="8"/>
  <c r="E32" i="8"/>
  <c r="D32" i="8"/>
  <c r="C32" i="8"/>
  <c r="B32" i="8"/>
  <c r="L31" i="8"/>
  <c r="K31" i="8"/>
  <c r="J31" i="8"/>
  <c r="H31" i="8"/>
  <c r="G31" i="8"/>
  <c r="F31" i="8"/>
  <c r="E31" i="8"/>
  <c r="D31" i="8"/>
  <c r="C31" i="8"/>
  <c r="B31" i="8"/>
  <c r="L30" i="8"/>
  <c r="K30" i="8"/>
  <c r="J30" i="8"/>
  <c r="H30" i="8"/>
  <c r="G30" i="8"/>
  <c r="F30" i="8"/>
  <c r="E30" i="8"/>
  <c r="D30" i="8"/>
  <c r="C30" i="8"/>
  <c r="B30" i="8"/>
  <c r="L29" i="8"/>
  <c r="K29" i="8"/>
  <c r="J29" i="8"/>
  <c r="H29" i="8"/>
  <c r="G29" i="8"/>
  <c r="F29" i="8"/>
  <c r="E29" i="8"/>
  <c r="D29" i="8"/>
  <c r="C29" i="8"/>
  <c r="B29" i="8"/>
  <c r="L28" i="8"/>
  <c r="K28" i="8"/>
  <c r="J28" i="8"/>
  <c r="H28" i="8"/>
  <c r="G28" i="8"/>
  <c r="F28" i="8"/>
  <c r="E28" i="8"/>
  <c r="D28" i="8"/>
  <c r="C28" i="8"/>
  <c r="B28" i="8"/>
  <c r="L27" i="8"/>
  <c r="K27" i="8"/>
  <c r="J27" i="8"/>
  <c r="H27" i="8"/>
  <c r="G27" i="8"/>
  <c r="F27" i="8"/>
  <c r="E27" i="8"/>
  <c r="D27" i="8"/>
  <c r="C27" i="8"/>
  <c r="B27" i="8"/>
  <c r="L26" i="8"/>
  <c r="K26" i="8"/>
  <c r="J26" i="8"/>
  <c r="H26" i="8"/>
  <c r="G26" i="8"/>
  <c r="F26" i="8"/>
  <c r="E26" i="8"/>
  <c r="D26" i="8"/>
  <c r="C26" i="8"/>
  <c r="B26" i="8"/>
  <c r="L25" i="8"/>
  <c r="K25" i="8"/>
  <c r="J25" i="8"/>
  <c r="H25" i="8"/>
  <c r="G25" i="8"/>
  <c r="F25" i="8"/>
  <c r="E25" i="8"/>
  <c r="D25" i="8"/>
  <c r="C25" i="8"/>
  <c r="B25" i="8"/>
  <c r="L24" i="8"/>
  <c r="K24" i="8"/>
  <c r="J24" i="8"/>
  <c r="H24" i="8"/>
  <c r="G24" i="8"/>
  <c r="F24" i="8"/>
  <c r="E24" i="8"/>
  <c r="D24" i="8"/>
  <c r="C24" i="8"/>
  <c r="B24" i="8"/>
  <c r="L23" i="8"/>
  <c r="K23" i="8"/>
  <c r="J23" i="8"/>
  <c r="H23" i="8"/>
  <c r="G23" i="8"/>
  <c r="F23" i="8"/>
  <c r="E23" i="8"/>
  <c r="D23" i="8"/>
  <c r="C23" i="8"/>
  <c r="B23" i="8"/>
  <c r="L22" i="8"/>
  <c r="K22" i="8"/>
  <c r="J22" i="8"/>
  <c r="H22" i="8"/>
  <c r="G22" i="8"/>
  <c r="F22" i="8"/>
  <c r="E22" i="8"/>
  <c r="D22" i="8"/>
  <c r="C22" i="8"/>
  <c r="B22" i="8"/>
  <c r="L21" i="8"/>
  <c r="K21" i="8"/>
  <c r="J21" i="8"/>
  <c r="H21" i="8"/>
  <c r="G21" i="8"/>
  <c r="F21" i="8"/>
  <c r="E21" i="8"/>
  <c r="D21" i="8"/>
  <c r="C21" i="8"/>
  <c r="B21" i="8"/>
  <c r="L20" i="8"/>
  <c r="K20" i="8"/>
  <c r="J20" i="8"/>
  <c r="H20" i="8"/>
  <c r="G20" i="8"/>
  <c r="F20" i="8"/>
  <c r="E20" i="8"/>
  <c r="D20" i="8"/>
  <c r="C20" i="8"/>
  <c r="B20" i="8"/>
  <c r="L19" i="8"/>
  <c r="K19" i="8"/>
  <c r="J19" i="8"/>
  <c r="H19" i="8"/>
  <c r="G19" i="8"/>
  <c r="F19" i="8"/>
  <c r="E19" i="8"/>
  <c r="D19" i="8"/>
  <c r="C19" i="8"/>
  <c r="B19" i="8"/>
  <c r="L18" i="8"/>
  <c r="K18" i="8"/>
  <c r="J18" i="8"/>
  <c r="H18" i="8"/>
  <c r="G18" i="8"/>
  <c r="F18" i="8"/>
  <c r="E18" i="8"/>
  <c r="D18" i="8"/>
  <c r="C18" i="8"/>
  <c r="B18" i="8"/>
  <c r="L17" i="8"/>
  <c r="K17" i="8"/>
  <c r="J17" i="8"/>
  <c r="H17" i="8"/>
  <c r="G17" i="8"/>
  <c r="F17" i="8"/>
  <c r="E17" i="8"/>
  <c r="D17" i="8"/>
  <c r="C17" i="8"/>
  <c r="B17" i="8"/>
  <c r="L16" i="8"/>
  <c r="K16" i="8"/>
  <c r="J16" i="8"/>
  <c r="H16" i="8"/>
  <c r="G16" i="8"/>
  <c r="F16" i="8"/>
  <c r="E16" i="8"/>
  <c r="D16" i="8"/>
  <c r="C16" i="8"/>
  <c r="B16" i="8"/>
  <c r="L15" i="8"/>
  <c r="K15" i="8"/>
  <c r="J15" i="8"/>
  <c r="H15" i="8"/>
  <c r="G15" i="8"/>
  <c r="F15" i="8"/>
  <c r="E15" i="8"/>
  <c r="D15" i="8"/>
  <c r="C15" i="8"/>
  <c r="B15" i="8"/>
  <c r="L14" i="8"/>
  <c r="K14" i="8"/>
  <c r="J14" i="8"/>
  <c r="H14" i="8"/>
  <c r="G14" i="8"/>
  <c r="F14" i="8"/>
  <c r="E14" i="8"/>
  <c r="D14" i="8"/>
  <c r="C14" i="8"/>
  <c r="B14" i="8"/>
  <c r="L13" i="8"/>
  <c r="K13" i="8"/>
  <c r="J13" i="8"/>
  <c r="H13" i="8"/>
  <c r="G13" i="8"/>
  <c r="F13" i="8"/>
  <c r="E13" i="8"/>
  <c r="D13" i="8"/>
  <c r="C13" i="8"/>
  <c r="B13" i="8"/>
  <c r="L12" i="8"/>
  <c r="K12" i="8"/>
  <c r="J12" i="8"/>
  <c r="H12" i="8"/>
  <c r="G12" i="8"/>
  <c r="F12" i="8"/>
  <c r="E12" i="8"/>
  <c r="D12" i="8"/>
  <c r="C12" i="8"/>
  <c r="B12" i="8"/>
  <c r="L11" i="8"/>
  <c r="K11" i="8"/>
  <c r="J11" i="8"/>
  <c r="H11" i="8"/>
  <c r="G11" i="8"/>
  <c r="F11" i="8"/>
  <c r="E11" i="8"/>
  <c r="D11" i="8"/>
  <c r="C11" i="8"/>
  <c r="B11" i="8"/>
  <c r="L10" i="8"/>
  <c r="K10" i="8"/>
  <c r="J10" i="8"/>
  <c r="H10" i="8"/>
  <c r="G10" i="8"/>
  <c r="F10" i="8"/>
  <c r="E10" i="8"/>
  <c r="D10" i="8"/>
  <c r="C10" i="8"/>
  <c r="B10" i="8"/>
  <c r="L9" i="8"/>
  <c r="K9" i="8"/>
  <c r="J9" i="8"/>
  <c r="H9" i="8"/>
  <c r="G9" i="8"/>
  <c r="F9" i="8"/>
  <c r="E9" i="8"/>
  <c r="D9" i="8"/>
  <c r="C9" i="8"/>
  <c r="B9" i="8"/>
  <c r="L8" i="8"/>
  <c r="K8" i="8"/>
  <c r="J8" i="8"/>
  <c r="H8" i="8"/>
  <c r="G8" i="8"/>
  <c r="F8" i="8"/>
  <c r="E8" i="8"/>
  <c r="D8" i="8"/>
  <c r="C8" i="8"/>
  <c r="B8" i="8"/>
  <c r="L7" i="8"/>
  <c r="K7" i="8"/>
  <c r="J7" i="8"/>
  <c r="H7" i="8"/>
  <c r="G7" i="8"/>
  <c r="F7" i="8"/>
  <c r="E7" i="8"/>
  <c r="D7" i="8"/>
  <c r="C7" i="8"/>
  <c r="B7" i="8"/>
  <c r="N6" i="8"/>
  <c r="L6" i="8"/>
  <c r="K6" i="8"/>
  <c r="J6" i="8"/>
  <c r="H6" i="8"/>
  <c r="G6" i="8"/>
  <c r="F6" i="8"/>
  <c r="E6" i="8"/>
  <c r="D6" i="8"/>
  <c r="C6" i="8"/>
  <c r="B6" i="8"/>
  <c r="N5" i="8"/>
  <c r="L5" i="8"/>
  <c r="K5" i="8"/>
  <c r="J5" i="8"/>
  <c r="H5" i="8"/>
  <c r="G5" i="8"/>
  <c r="F5" i="8"/>
  <c r="E5" i="8"/>
  <c r="D5" i="8"/>
  <c r="C5" i="8"/>
  <c r="B5" i="8"/>
  <c r="L4" i="8"/>
  <c r="K4" i="8"/>
  <c r="J4" i="8"/>
  <c r="H4" i="8"/>
  <c r="G4" i="8"/>
  <c r="F4" i="8"/>
  <c r="E4" i="8"/>
  <c r="D4" i="8"/>
  <c r="C4" i="8"/>
  <c r="B4" i="8"/>
  <c r="N3" i="8"/>
  <c r="L3" i="8"/>
  <c r="K3" i="8"/>
  <c r="J3" i="8"/>
  <c r="H3" i="8"/>
  <c r="G3" i="8"/>
  <c r="F3" i="8"/>
  <c r="E3" i="8"/>
  <c r="D3" i="8"/>
  <c r="C3" i="8"/>
  <c r="B3" i="8"/>
  <c r="N2" i="8"/>
  <c r="L2" i="8"/>
  <c r="K2" i="8"/>
  <c r="J2" i="8"/>
  <c r="H2" i="8"/>
  <c r="G2" i="8"/>
  <c r="F2" i="8"/>
  <c r="E2" i="8"/>
  <c r="D2" i="8"/>
  <c r="C2" i="8"/>
  <c r="B2" i="8"/>
  <c r="E4" i="12" l="1"/>
  <c r="N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2" authorId="0" shapeId="0" xr:uid="{BD0E4673-C496-4ACD-8D85-E0240CB414AD}">
      <text>
        <r>
          <rPr>
            <sz val="11"/>
            <color theme="1"/>
            <rFont val="Calibri"/>
            <family val="2"/>
            <scheme val="minor"/>
          </rPr>
          <t>Review Required: duplicate Student_ID S1004 with conflicting details.</t>
        </r>
      </text>
    </comment>
    <comment ref="A13" authorId="0" shapeId="0" xr:uid="{ECD69707-88E7-43E4-A0E0-A8D692E9AB66}">
      <text>
        <r>
          <rPr>
            <sz val="11"/>
            <color theme="1"/>
            <rFont val="Calibri"/>
            <family val="2"/>
            <scheme val="minor"/>
          </rPr>
          <t>Review Required: duplicate Student_ID S1004 with conflicting details.</t>
        </r>
      </text>
    </comment>
    <comment ref="A17" authorId="0" shapeId="0" xr:uid="{375273C7-096E-4326-A787-E8542F3AA565}">
      <text>
        <r>
          <rPr>
            <sz val="11"/>
            <color theme="1"/>
            <rFont val="Calibri"/>
            <family val="2"/>
            <scheme val="minor"/>
          </rPr>
          <t>Review Required: Days Present exceeds Days Enrolled; source verification required.</t>
        </r>
      </text>
    </comment>
    <comment ref="E17" authorId="0" shapeId="0" xr:uid="{10BAB754-1E7F-4B90-8A1E-56F27BAE8AF2}">
      <text>
        <r>
          <rPr>
            <sz val="11"/>
            <color theme="1"/>
            <rFont val="Calibri"/>
            <family val="2"/>
            <scheme val="minor"/>
          </rPr>
          <t>Review required: Days Present exceeds Days Enrolled; source values are internally inconsistent and cannot be safely corrected.</t>
        </r>
      </text>
    </comment>
    <comment ref="E20" authorId="0" shapeId="0" xr:uid="{B9A8EC42-80ED-4012-8D0B-FA9985B2E982}">
      <text>
        <r>
          <rPr>
            <sz val="11"/>
            <color theme="1"/>
            <rFont val="Calibri"/>
            <family val="2"/>
            <scheme val="minor"/>
          </rPr>
          <t>Review Required: score &gt;100; scoring scale has not been established.</t>
        </r>
      </text>
    </comment>
    <comment ref="C24" authorId="0" shapeId="0" xr:uid="{11C3E4A1-200F-41C5-B7BA-041E39BAA9B4}">
      <text>
        <r>
          <rPr>
            <sz val="11"/>
            <color theme="1"/>
            <rFont val="Calibri"/>
            <family val="2"/>
            <scheme val="minor"/>
          </rPr>
          <t>Review Required: negative incident count is invalid; source verification required.</t>
        </r>
      </text>
    </comment>
  </commentList>
</comments>
</file>

<file path=xl/sharedStrings.xml><?xml version="1.0" encoding="utf-8"?>
<sst xmlns="http://schemas.openxmlformats.org/spreadsheetml/2006/main" count="1707" uniqueCount="409">
  <si>
    <t>Dataset</t>
  </si>
  <si>
    <t>Field Name</t>
  </si>
  <si>
    <t>Description</t>
  </si>
  <si>
    <t>Data Type</t>
  </si>
  <si>
    <t>Role / Meaning</t>
  </si>
  <si>
    <t>Data Quality Notes</t>
  </si>
  <si>
    <t>Students_Clean</t>
  </si>
  <si>
    <t>Student_ID</t>
  </si>
  <si>
    <t>Unique identifier assigned to each student.</t>
  </si>
  <si>
    <t>Text</t>
  </si>
  <si>
    <t>Primary key / student identifier</t>
  </si>
  <si>
    <t>Expected to be unique; S1004 is flagged for duplicate/conflicting records.</t>
  </si>
  <si>
    <t>First_Name</t>
  </si>
  <si>
    <t>Student's first name.</t>
  </si>
  <si>
    <t>Student attribute</t>
  </si>
  <si>
    <t>Contains personally identifiable student information; handle securely.</t>
  </si>
  <si>
    <t>Last_Name</t>
  </si>
  <si>
    <t>Student's last name.</t>
  </si>
  <si>
    <t>Grade</t>
  </si>
  <si>
    <t>Student's current grade level.</t>
  </si>
  <si>
    <t>Text / categorical</t>
  </si>
  <si>
    <t>Missing value was handled as Unknown for the identified record.</t>
  </si>
  <si>
    <t>Enrollment_Status</t>
  </si>
  <si>
    <t>Current enrollment status of the student.</t>
  </si>
  <si>
    <t>Student status</t>
  </si>
  <si>
    <t>Standardized capitalization (e.g., active → Active).</t>
  </si>
  <si>
    <t>Program</t>
  </si>
  <si>
    <t>Program in which the student is enrolled.</t>
  </si>
  <si>
    <t>Used for grouping and comparison in analysis.</t>
  </si>
  <si>
    <t>Enrollment_Date</t>
  </si>
  <si>
    <t>Date the student enrolled.</t>
  </si>
  <si>
    <t>Date</t>
  </si>
  <si>
    <t>Enrollment attribute</t>
  </si>
  <si>
    <t>Used for enrollment timing and trend analysis.</t>
  </si>
  <si>
    <t>Attendance_Clean</t>
  </si>
  <si>
    <t>Identifier linking attendance records to a student.</t>
  </si>
  <si>
    <t>Foreign key</t>
  </si>
  <si>
    <t>Should match Student_ID in Students_Clean.</t>
  </si>
  <si>
    <t>Days_Enrolled</t>
  </si>
  <si>
    <t>Number of days the student was enrolled during the reporting period.</t>
  </si>
  <si>
    <t>Number</t>
  </si>
  <si>
    <t>Attendance denominator</t>
  </si>
  <si>
    <t>Used with Days_Present to validate attendance calculations.</t>
  </si>
  <si>
    <t>Days_Present</t>
  </si>
  <si>
    <t>Number of days the student was present.</t>
  </si>
  <si>
    <t>Attendance measure</t>
  </si>
  <si>
    <t>Should not exceed Days_Enrolled; S1008 is flagged for review.</t>
  </si>
  <si>
    <t>Days_Absent</t>
  </si>
  <si>
    <t>Number of days the student was absent.</t>
  </si>
  <si>
    <t>Validated as Days_Enrolled minus Days_Present when reliable; S1021 was corrected from -1 to 3.</t>
  </si>
  <si>
    <t>Attendance_Rate</t>
  </si>
  <si>
    <t>Percentage of enrolled days on which the student was present.</t>
  </si>
  <si>
    <t>Percentage</t>
  </si>
  <si>
    <t>Attendance KPI</t>
  </si>
  <si>
    <t>Calculated as Days_Present / Days_Enrolled when valid; S1015 was populated when calculable.</t>
  </si>
  <si>
    <t>Assessments_Clean</t>
  </si>
  <si>
    <t>Identifier linking assessment records to a student.</t>
  </si>
  <si>
    <t>Assessment</t>
  </si>
  <si>
    <t>Assessment or assessment category associated with the record.</t>
  </si>
  <si>
    <t>Assessment attribute</t>
  </si>
  <si>
    <t>Used to group assessment results.</t>
  </si>
  <si>
    <t>Score</t>
  </si>
  <si>
    <t>Numeric result received on the assessment.</t>
  </si>
  <si>
    <t>Assessment measure</t>
  </si>
  <si>
    <t>S1001 has a missing score flagged for review; values above 100 are flagged because the scoring scale is not established.</t>
  </si>
  <si>
    <t>Benchmark</t>
  </si>
  <si>
    <t>Benchmark category associated with the assessment result.</t>
  </si>
  <si>
    <t>Performance category</t>
  </si>
  <si>
    <t>Capitalization was standardized where identified (m → M).</t>
  </si>
  <si>
    <t>Assessment_Date</t>
  </si>
  <si>
    <t>Date on which the assessment was administered or recorded.</t>
  </si>
  <si>
    <t>Used for time-based analysis.</t>
  </si>
  <si>
    <t>Discipline_Clean</t>
  </si>
  <si>
    <t>Identifier linking discipline records to a student.</t>
  </si>
  <si>
    <t>Incidents</t>
  </si>
  <si>
    <t>Number of discipline incidents recorded for the student.</t>
  </si>
  <si>
    <t>Discipline measure</t>
  </si>
  <si>
    <t>Counts should not be negative; S1012 is flagged because the source value is -2.</t>
  </si>
  <si>
    <t>Table</t>
  </si>
  <si>
    <t>Role</t>
  </si>
  <si>
    <t>Key</t>
  </si>
  <si>
    <t>Grain</t>
  </si>
  <si>
    <t>Student dimension/master</t>
  </si>
  <si>
    <t>One row per student</t>
  </si>
  <si>
    <t>Attendance fact</t>
  </si>
  <si>
    <t>One row per student attendance record</t>
  </si>
  <si>
    <t>Assessment fact</t>
  </si>
  <si>
    <t xml:space="preserve">Student_ID + Assessment + Assessment_Date </t>
  </si>
  <si>
    <t>One row per assessment</t>
  </si>
  <si>
    <t>Discipline fact</t>
  </si>
  <si>
    <t>S1000</t>
  </si>
  <si>
    <t>Olivia</t>
  </si>
  <si>
    <t>Wilson</t>
  </si>
  <si>
    <t>Active</t>
  </si>
  <si>
    <t>MTSS Tier 2</t>
  </si>
  <si>
    <t>S1001</t>
  </si>
  <si>
    <t>Daniel</t>
  </si>
  <si>
    <t>Brown</t>
  </si>
  <si>
    <t>Withdrawn</t>
  </si>
  <si>
    <t>MTSS Tier 1</t>
  </si>
  <si>
    <t>S1002</t>
  </si>
  <si>
    <t>Charlotte</t>
  </si>
  <si>
    <t>Johnson</t>
  </si>
  <si>
    <t>S1003</t>
  </si>
  <si>
    <t>Isabella</t>
  </si>
  <si>
    <t>Core</t>
  </si>
  <si>
    <t>S1004</t>
  </si>
  <si>
    <t>Lucas</t>
  </si>
  <si>
    <t>Lee</t>
  </si>
  <si>
    <t>S1006</t>
  </si>
  <si>
    <t>Ella</t>
  </si>
  <si>
    <t>S1007</t>
  </si>
  <si>
    <t>Anderson</t>
  </si>
  <si>
    <t>S1008</t>
  </si>
  <si>
    <t>S1009</t>
  </si>
  <si>
    <t>Noah</t>
  </si>
  <si>
    <t>S1010</t>
  </si>
  <si>
    <t>S1011</t>
  </si>
  <si>
    <t>Mia</t>
  </si>
  <si>
    <t>Garcia</t>
  </si>
  <si>
    <t>Unknown</t>
  </si>
  <si>
    <t>S1012</t>
  </si>
  <si>
    <t>Liam</t>
  </si>
  <si>
    <t>Patel</t>
  </si>
  <si>
    <t>S1013</t>
  </si>
  <si>
    <t>James</t>
  </si>
  <si>
    <t>Thomas</t>
  </si>
  <si>
    <t>S1014</t>
  </si>
  <si>
    <t>Ethan</t>
  </si>
  <si>
    <t>Smith</t>
  </si>
  <si>
    <t>S1015</t>
  </si>
  <si>
    <t>Taylor</t>
  </si>
  <si>
    <t>S1016</t>
  </si>
  <si>
    <t>Ava</t>
  </si>
  <si>
    <t>Miller</t>
  </si>
  <si>
    <t>S1017</t>
  </si>
  <si>
    <t>S1018</t>
  </si>
  <si>
    <t>S1019</t>
  </si>
  <si>
    <t>Harper</t>
  </si>
  <si>
    <t>S1020</t>
  </si>
  <si>
    <t>Mason</t>
  </si>
  <si>
    <t>S1021</t>
  </si>
  <si>
    <t>Leo</t>
  </si>
  <si>
    <t>S1022</t>
  </si>
  <si>
    <t>S1023</t>
  </si>
  <si>
    <t>S1024</t>
  </si>
  <si>
    <t>MTSS Tier 3</t>
  </si>
  <si>
    <t>S1025</t>
  </si>
  <si>
    <t>MTSS tier 2</t>
  </si>
  <si>
    <t>S1026</t>
  </si>
  <si>
    <t>S1027</t>
  </si>
  <si>
    <t>S1028</t>
  </si>
  <si>
    <t>Emma</t>
  </si>
  <si>
    <t>S1029</t>
  </si>
  <si>
    <t>S1030</t>
  </si>
  <si>
    <t>S1031</t>
  </si>
  <si>
    <t>Sophia</t>
  </si>
  <si>
    <t>S1032</t>
  </si>
  <si>
    <t>S1033</t>
  </si>
  <si>
    <t>Jack</t>
  </si>
  <si>
    <t>S1034</t>
  </si>
  <si>
    <t>S1035</t>
  </si>
  <si>
    <t>Henry</t>
  </si>
  <si>
    <t>S1036</t>
  </si>
  <si>
    <t>S1037</t>
  </si>
  <si>
    <t>S1038</t>
  </si>
  <si>
    <t>S1039</t>
  </si>
  <si>
    <t>S1040</t>
  </si>
  <si>
    <t>Davis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</si>
  <si>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</si>
  <si>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</si>
  <si>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</si>
  <si>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</si>
  <si>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</si>
  <si>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</si>
  <si>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</si>
  <si>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</si>
  <si>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</si>
  <si>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</si>
  <si>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</si>
  <si>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</si>
  <si>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</si>
  <si>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</si>
  <si>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</si>
  <si>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</si>
  <si>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</si>
  <si>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</si>
  <si>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</si>
  <si>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</si>
  <si>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</si>
  <si>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</si>
  <si>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</si>
  <si>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</si>
  <si>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</si>
  <si>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</si>
  <si>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</si>
  <si>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</si>
  <si>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Amelia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</si>
  <si>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</si>
  <si>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</si>
  <si>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</si>
  <si>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</si>
  <si>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</si>
  <si>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</si>
  <si>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</si>
  <si>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</si>
  <si>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</si>
  <si>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</si>
  <si>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</si>
  <si>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</si>
  <si>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</si>
  <si>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</si>
  <si>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</si>
  <si>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</si>
  <si>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</si>
  <si>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</si>
  <si>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</si>
  <si>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</si>
  <si>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</si>
  <si>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</si>
  <si>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</si>
  <si>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</si>
  <si>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</si>
  <si>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</si>
  <si>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</si>
  <si>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</si>
  <si>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</si>
  <si>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</si>
  <si>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</si>
  <si>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</si>
  <si>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</si>
  <si>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</si>
  <si>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</si>
  <si>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</si>
  <si>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</si>
  <si>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</si>
  <si>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</si>
  <si>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</si>
  <si>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</si>
  <si>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</si>
  <si>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</si>
  <si>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</si>
  <si>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</si>
  <si>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</si>
  <si>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</si>
  <si>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</si>
  <si>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</si>
  <si>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</si>
  <si>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</si>
  <si>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S1005</t>
  </si>
  <si>
    <t>S9999</t>
  </si>
  <si>
    <t>Science</t>
  </si>
  <si>
    <t>Met</t>
  </si>
  <si>
    <t>ELA</t>
  </si>
  <si>
    <t>Math</t>
  </si>
  <si>
    <t>Below</t>
  </si>
  <si>
    <t>met</t>
  </si>
  <si>
    <t>S8888</t>
  </si>
  <si>
    <t>Major_Incidents</t>
  </si>
  <si>
    <t>Issue</t>
  </si>
  <si>
    <t>Original_Value</t>
  </si>
  <si>
    <t>Expected_Value</t>
  </si>
  <si>
    <t>Action</t>
  </si>
  <si>
    <t>Reason</t>
  </si>
  <si>
    <t>Status</t>
  </si>
  <si>
    <t>Students</t>
  </si>
  <si>
    <t>Duplicate Student_ID with conflicting details</t>
  </si>
  <si>
    <t>2 records</t>
  </si>
  <si>
    <t>One unique Student_ID expected</t>
  </si>
  <si>
    <t>Retained and flagged</t>
  </si>
  <si>
    <t>The duplicate records contain different details; source verification is required</t>
  </si>
  <si>
    <t>Review Required</t>
  </si>
  <si>
    <t>Attendance</t>
  </si>
  <si>
    <t>Days Present exceeds Days Enrolled</t>
  </si>
  <si>
    <t>Days Enrolled=158; Days Present=161; Days Absent=5</t>
  </si>
  <si>
    <t>Cannot determine</t>
  </si>
  <si>
    <t>The available data cannot determine which source value is incorrect</t>
  </si>
  <si>
    <t>Assessments</t>
  </si>
  <si>
    <t>Exact duplicate record</t>
  </si>
  <si>
    <t>Identical duplicate row</t>
  </si>
  <si>
    <t>One record</t>
  </si>
  <si>
    <t>Removed duplicate copy</t>
  </si>
  <si>
    <t>The duplicate contained the same values as the retained record</t>
  </si>
  <si>
    <t>Corrected</t>
  </si>
  <si>
    <t>Score exceeds 100</t>
  </si>
  <si>
    <t>Requires business-rule verification</t>
  </si>
  <si>
    <t>Cannot assume a 0–100 scoring scale without source documentation</t>
  </si>
  <si>
    <t>Discipline</t>
  </si>
  <si>
    <t>Invalid negative incident count</t>
  </si>
  <si>
    <t>Incident counts cannot be negative, but the correct value cannot be derived from the available data</t>
  </si>
  <si>
    <t>Student Dataset</t>
  </si>
  <si>
    <t>Attendence Dataset</t>
  </si>
  <si>
    <t>Assessments Dataset</t>
  </si>
  <si>
    <t>Discipline Dataset</t>
  </si>
  <si>
    <t>One row per student discipline record</t>
  </si>
  <si>
    <t>Assessment_Score</t>
  </si>
  <si>
    <t>Discipline_Incidents</t>
  </si>
  <si>
    <t>Full Name</t>
  </si>
  <si>
    <t>Olivia Wilson</t>
  </si>
  <si>
    <t>Daniel Brown</t>
  </si>
  <si>
    <t>Charlotte Johnson</t>
  </si>
  <si>
    <t>Isabella Johnson</t>
  </si>
  <si>
    <t>Ella Wilson</t>
  </si>
  <si>
    <t>Isabella Anderson</t>
  </si>
  <si>
    <t>Noah Wilson</t>
  </si>
  <si>
    <t>Lucas Anderson</t>
  </si>
  <si>
    <t>Liam Patel</t>
  </si>
  <si>
    <t>James Thomas</t>
  </si>
  <si>
    <t>Ethan Smith</t>
  </si>
  <si>
    <t>Liam Taylor</t>
  </si>
  <si>
    <t>Ava Miller</t>
  </si>
  <si>
    <t>James Lee</t>
  </si>
  <si>
    <t>James Patel</t>
  </si>
  <si>
    <t>Harper Thomas</t>
  </si>
  <si>
    <t>Mason Thomas</t>
  </si>
  <si>
    <t>Leo Thomas</t>
  </si>
  <si>
    <t>Charlotte Thomas</t>
  </si>
  <si>
    <t>Ella Anderson</t>
  </si>
  <si>
    <t>James Taylor</t>
  </si>
  <si>
    <t>Daniel Wilson</t>
  </si>
  <si>
    <t>Mia Thomas</t>
  </si>
  <si>
    <t>Emma Miller</t>
  </si>
  <si>
    <t>Olivia Brown</t>
  </si>
  <si>
    <t>Sophia Brown</t>
  </si>
  <si>
    <t>Olivia Miller</t>
  </si>
  <si>
    <t>Jack Anderson</t>
  </si>
  <si>
    <t>Noah Miller</t>
  </si>
  <si>
    <t>Henry Johnson</t>
  </si>
  <si>
    <t>Jack Miller</t>
  </si>
  <si>
    <t>Sophia Garcia</t>
  </si>
  <si>
    <t>Liam Wilson</t>
  </si>
  <si>
    <t>Daniel Patel</t>
  </si>
  <si>
    <t>Charlotte Davis</t>
  </si>
  <si>
    <t>Olivia Anderson</t>
  </si>
  <si>
    <t>James Miller</t>
  </si>
  <si>
    <t>Lucas Lee</t>
  </si>
  <si>
    <t>Charlotte Brown</t>
  </si>
  <si>
    <t>Mia Garcia</t>
  </si>
  <si>
    <t>Henry Taylor</t>
  </si>
  <si>
    <t>Noah Davis</t>
  </si>
  <si>
    <t>Lucas Patel</t>
  </si>
  <si>
    <t>Liam Miller</t>
  </si>
  <si>
    <t>Ethan Johnson</t>
  </si>
  <si>
    <t>Mason Brown</t>
  </si>
  <si>
    <t>Noah Brown</t>
  </si>
  <si>
    <t>Jack Taylor</t>
  </si>
  <si>
    <t>James Johnson</t>
  </si>
  <si>
    <t>Liam Thomas</t>
  </si>
  <si>
    <t>Mason Wilson</t>
  </si>
  <si>
    <t>Noah Smith</t>
  </si>
  <si>
    <t>Henry Garcia</t>
  </si>
  <si>
    <t>Leo Brown</t>
  </si>
  <si>
    <t>Charlotte Lee</t>
  </si>
  <si>
    <t>Lucas Brown</t>
  </si>
  <si>
    <t>Henry Davis</t>
  </si>
  <si>
    <t>Leo Anderson</t>
  </si>
  <si>
    <t>Amelia Brown</t>
  </si>
  <si>
    <t>Jack Smith</t>
  </si>
  <si>
    <t>Charlotte Smith</t>
  </si>
  <si>
    <t>Amelia Thomas</t>
  </si>
  <si>
    <t>Sophia Patel</t>
  </si>
  <si>
    <t>Charlotte Wilson</t>
  </si>
  <si>
    <t>Amelia Lee</t>
  </si>
  <si>
    <t>Ava Brown</t>
  </si>
  <si>
    <t>Ava Smith</t>
  </si>
  <si>
    <t>Lucas Thomas</t>
  </si>
  <si>
    <t>Isabella Taylor</t>
  </si>
  <si>
    <t>Ella Patel</t>
  </si>
  <si>
    <t>Harper Wilson</t>
  </si>
  <si>
    <t>Lucas Johnson</t>
  </si>
  <si>
    <t>Mia Wilson</t>
  </si>
  <si>
    <t>Mia Anderson</t>
  </si>
  <si>
    <t>Ava Davis</t>
  </si>
  <si>
    <t>Emma Anderson</t>
  </si>
  <si>
    <t>Olivia Patel</t>
  </si>
  <si>
    <t>Sophia Davis</t>
  </si>
  <si>
    <t>Olivia Lee</t>
  </si>
  <si>
    <t>Sophia Johnson</t>
  </si>
  <si>
    <t>Lucas Smith</t>
  </si>
  <si>
    <t>Ava Anderson</t>
  </si>
  <si>
    <t>James Anderson</t>
  </si>
  <si>
    <t>Ava Johnson</t>
  </si>
  <si>
    <t>Mia Taylor</t>
  </si>
  <si>
    <t>Ava Garcia</t>
  </si>
  <si>
    <t>Emma Garcia</t>
  </si>
  <si>
    <t>Charlotte Miller</t>
  </si>
  <si>
    <t>Mason Davis</t>
  </si>
  <si>
    <t>Amelia Wilson</t>
  </si>
  <si>
    <t>Ella Smith</t>
  </si>
  <si>
    <t>KPI</t>
  </si>
  <si>
    <t>Value</t>
  </si>
  <si>
    <t>Total Students</t>
  </si>
  <si>
    <t>Average Attendance</t>
  </si>
  <si>
    <t>Average Assessment Score</t>
  </si>
  <si>
    <t>Total Discipline Incidents</t>
  </si>
  <si>
    <t>Total Major Incidents</t>
  </si>
  <si>
    <t>Row Labels</t>
  </si>
  <si>
    <t>Grand Total</t>
  </si>
  <si>
    <t>Average of Attendance_Rate</t>
  </si>
  <si>
    <t>Average of Assessment_Score</t>
  </si>
  <si>
    <t>Sum of Discipline_Incidents</t>
  </si>
  <si>
    <t>Sum of Major_Incidents</t>
  </si>
  <si>
    <t>Not Available</t>
  </si>
  <si>
    <t>Students Below 85% Attendance</t>
  </si>
  <si>
    <t>Sum of Discipline Incidents</t>
  </si>
  <si>
    <t>Sum of Major Incidents</t>
  </si>
  <si>
    <t>Student Performance &amp; Outcomes - Leadership Dashboard</t>
  </si>
  <si>
    <t>(blank)</t>
  </si>
  <si>
    <t>Attendance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</si>
</sst>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1" xfId="0" applyFont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0" fontId="2" fillId="0" borderId="0" xfId="0" applyFont="1" applyAlignment="1">
      <alignment vertical="top"/>
    </xf>
    <xf numFmtId="164" fontId="2" fillId="0" borderId="1" xfId="0" applyNumberFormat="1" applyFont="1" applyBorder="1" applyAlignment="1">
      <alignment vertical="top"/>
    </xf>
    <xf numFmtId="164" fontId="0" fillId="0" borderId="0" xfId="0" applyNumberFormat="1"/>
    <xf numFmtId="0" fontId="2" fillId="0" borderId="2" xfId="0" applyFont="1" applyBorder="1" applyAlignment="1">
      <alignment vertical="top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3" xfId="0" applyFont="1" applyFill="1" applyBorder="1"/>
    <xf numFmtId="165" fontId="1" fillId="3" borderId="3" xfId="0" applyNumberFormat="1" applyFont="1" applyFill="1" applyBorder="1"/>
    <xf numFmtId="0" fontId="0" fillId="0" borderId="0" xfId="0" applyNumberFormat="1"/>
  </cellXfs>
  <cellStyles count="1">
    <cellStyle name="Normal" xfId="0" builtinId="0"/>
  </cellStyles>
  <dxfs count="20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10/relationships/person" Target="persons/pers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microsoft.com/office/2017/10/relationships/person" Target="persons/pers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17/10/relationships/person" Target="persons/person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Attendance by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Data'!$B$5</c:f>
              <c:strCache>
                <c:ptCount val="1"/>
                <c:pt idx="0">
                  <c:v>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'Dashboard Data'!$B$6:$B$9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C-4A48-9B69-226BB4AC0A74}"/>
            </c:ext>
          </c:extLst>
        </c:ser>
        <c:ser>
          <c:idx val="1"/>
          <c:order val="1"/>
          <c:tx>
            <c:strRef>
              <c:f>'Dashboard Data'!$C$5</c:f>
              <c:strCache>
                <c:ptCount val="1"/>
                <c:pt idx="0">
                  <c:v>Average Attendance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'Dashboard Data'!$C$6:$C$9</c:f>
              <c:numCache>
                <c:formatCode>0.0</c:formatCode>
                <c:ptCount val="4"/>
                <c:pt idx="0">
                  <c:v>91.485185185185188</c:v>
                </c:pt>
                <c:pt idx="1">
                  <c:v>91.28</c:v>
                </c:pt>
                <c:pt idx="2">
                  <c:v>93.477272727272734</c:v>
                </c:pt>
                <c:pt idx="3">
                  <c:v>91.534146341463412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4C-4A48-9B69-226BB4AC0A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0353871"/>
        <c:axId val="1467041967"/>
      </c:barChart>
      <c:catAx>
        <c:axId val="1500353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41967"/>
        <c:crosses val="autoZero"/>
        <c:auto val="0"/>
        <c:lblAlgn val="ctr"/>
        <c:lblOffset val="100"/>
        <c:noMultiLvlLbl val="0"/>
      </c:catAx>
      <c:valAx>
        <c:axId val="14670419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Attendance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35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</a:t>
            </a:r>
            <a:r>
              <a:rPr lang="en-US"/>
              <a:t>Assessment Score by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Data'!$F$5</c:f>
              <c:strCache>
                <c:ptCount val="1"/>
                <c:pt idx="0">
                  <c:v>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'Dashboard Data'!$F$6:$F$9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7-490D-A317-1F60A0DC266B}"/>
            </c:ext>
          </c:extLst>
        </c:ser>
        <c:ser>
          <c:idx val="1"/>
          <c:order val="1"/>
          <c:tx>
            <c:strRef>
              <c:f>'Dashboard Data'!$G$5</c:f>
              <c:strCache>
                <c:ptCount val="1"/>
                <c:pt idx="0">
                  <c:v>Average Assessment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'Dashboard Data'!$G$6:$G$9</c:f>
              <c:numCache>
                <c:formatCode>0.0</c:formatCode>
                <c:ptCount val="4"/>
                <c:pt idx="0">
                  <c:v>80.481481481481481</c:v>
                </c:pt>
                <c:pt idx="1">
                  <c:v>75.8</c:v>
                </c:pt>
                <c:pt idx="2">
                  <c:v>76.956521739130437</c:v>
                </c:pt>
                <c:pt idx="3">
                  <c:v>78.615384615384613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7-490D-A317-1F60A0DC26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8359407"/>
        <c:axId val="1524798591"/>
      </c:barChart>
      <c:catAx>
        <c:axId val="152835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98591"/>
        <c:crosses val="autoZero"/>
        <c:auto val="1"/>
        <c:lblAlgn val="ctr"/>
        <c:lblOffset val="100"/>
        <c:noMultiLvlLbl val="0"/>
      </c:catAx>
      <c:valAx>
        <c:axId val="152479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Assessment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5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Assessment Score by Program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Data'!$K$5</c:f>
              <c:strCache>
                <c:ptCount val="1"/>
                <c:pt idx="0">
                  <c:v>Average of Assessment_Score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Data'!$J$6:$J$9</c:f>
              <c:strCache>
                <c:ptCount val="4"/>
                <c:pt idx="0">
                  <c:v>Core</c:v>
                </c:pt>
                <c:pt idx="1">
                  <c:v>MTSS Tier 1</c:v>
                </c:pt>
                <c:pt idx="2">
                  <c:v>MTSS Tier 2</c:v>
                </c:pt>
                <c:pt idx="3">
                  <c:v>MTSS Tier 3</c:v>
                </c:pt>
              </c:strCache>
            </c:strRef>
          </c:cat>
          <c:val>
            <c:numRef>
              <c:f>'Dashboard Data'!$K$6:$K$9</c:f>
              <c:numCache>
                <c:formatCode>0.0</c:formatCode>
                <c:ptCount val="4"/>
                <c:pt idx="0">
                  <c:v>78.75</c:v>
                </c:pt>
                <c:pt idx="1">
                  <c:v>74.709677419354833</c:v>
                </c:pt>
                <c:pt idx="2">
                  <c:v>80.058823529411768</c:v>
                </c:pt>
                <c:pt idx="3">
                  <c:v>81.7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8-4228-919C-2135D84AF0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29928543"/>
        <c:axId val="1489508303"/>
      </c:barChart>
      <c:catAx>
        <c:axId val="1529928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Program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08303"/>
        <c:crosses val="autoZero"/>
        <c:auto val="1"/>
        <c:lblAlgn val="ctr"/>
        <c:lblOffset val="100"/>
        <c:noMultiLvlLbl val="0"/>
      </c:catAx>
      <c:valAx>
        <c:axId val="14895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Assessment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92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Vs Assessment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Data'!$C$14</c:f>
              <c:strCache>
                <c:ptCount val="1"/>
                <c:pt idx="0">
                  <c:v>Average of Assessment_Score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Data'!$B$15:$B$96</c:f>
              <c:strCache>
                <c:ptCount val="82"/>
                <c:pt idx="0">
                  <c:v>75</c:v>
                </c:pt>
                <c:pt idx="1">
                  <c:v>75.3</c:v>
                </c:pt>
                <c:pt idx="2">
                  <c:v>76.3</c:v>
                </c:pt>
                <c:pt idx="3">
                  <c:v>79.2</c:v>
                </c:pt>
                <c:pt idx="4">
                  <c:v>79.4</c:v>
                </c:pt>
                <c:pt idx="5">
                  <c:v>80.4</c:v>
                </c:pt>
                <c:pt idx="6">
                  <c:v>81.1</c:v>
                </c:pt>
                <c:pt idx="7">
                  <c:v>81.6</c:v>
                </c:pt>
                <c:pt idx="8">
                  <c:v>82.1</c:v>
                </c:pt>
                <c:pt idx="9">
                  <c:v>83.3</c:v>
                </c:pt>
                <c:pt idx="10">
                  <c:v>83.6</c:v>
                </c:pt>
                <c:pt idx="11">
                  <c:v>83.8</c:v>
                </c:pt>
                <c:pt idx="12">
                  <c:v>84.2</c:v>
                </c:pt>
                <c:pt idx="13">
                  <c:v>84.4</c:v>
                </c:pt>
                <c:pt idx="14">
                  <c:v>84.5</c:v>
                </c:pt>
                <c:pt idx="15">
                  <c:v>84.6</c:v>
                </c:pt>
                <c:pt idx="16">
                  <c:v>85.4</c:v>
                </c:pt>
                <c:pt idx="17">
                  <c:v>85.5</c:v>
                </c:pt>
                <c:pt idx="18">
                  <c:v>86.1</c:v>
                </c:pt>
                <c:pt idx="19">
                  <c:v>86.3</c:v>
                </c:pt>
                <c:pt idx="20">
                  <c:v>86.7</c:v>
                </c:pt>
                <c:pt idx="21">
                  <c:v>87.1</c:v>
                </c:pt>
                <c:pt idx="22">
                  <c:v>87.9</c:v>
                </c:pt>
                <c:pt idx="23">
                  <c:v>88.4</c:v>
                </c:pt>
                <c:pt idx="24">
                  <c:v>88.6</c:v>
                </c:pt>
                <c:pt idx="25">
                  <c:v>88.7</c:v>
                </c:pt>
                <c:pt idx="26">
                  <c:v>88.9</c:v>
                </c:pt>
                <c:pt idx="27">
                  <c:v>89.1</c:v>
                </c:pt>
                <c:pt idx="28">
                  <c:v>89.3</c:v>
                </c:pt>
                <c:pt idx="29">
                  <c:v>89.9</c:v>
                </c:pt>
                <c:pt idx="30">
                  <c:v>90</c:v>
                </c:pt>
                <c:pt idx="31">
                  <c:v>90.6</c:v>
                </c:pt>
                <c:pt idx="32">
                  <c:v>91.1</c:v>
                </c:pt>
                <c:pt idx="33">
                  <c:v>91.2</c:v>
                </c:pt>
                <c:pt idx="34">
                  <c:v>91.5</c:v>
                </c:pt>
                <c:pt idx="35">
                  <c:v>91.7</c:v>
                </c:pt>
                <c:pt idx="36">
                  <c:v>91.8</c:v>
                </c:pt>
                <c:pt idx="37">
                  <c:v>92</c:v>
                </c:pt>
                <c:pt idx="38">
                  <c:v>92.2</c:v>
                </c:pt>
                <c:pt idx="39">
                  <c:v>92.4</c:v>
                </c:pt>
                <c:pt idx="40">
                  <c:v>92.6</c:v>
                </c:pt>
                <c:pt idx="41">
                  <c:v>93</c:v>
                </c:pt>
                <c:pt idx="42">
                  <c:v>93.1</c:v>
                </c:pt>
                <c:pt idx="43">
                  <c:v>93.3</c:v>
                </c:pt>
                <c:pt idx="44">
                  <c:v>93.5</c:v>
                </c:pt>
                <c:pt idx="45">
                  <c:v>93.6</c:v>
                </c:pt>
                <c:pt idx="46">
                  <c:v>93.7</c:v>
                </c:pt>
                <c:pt idx="47">
                  <c:v>93.8</c:v>
                </c:pt>
                <c:pt idx="48">
                  <c:v>94</c:v>
                </c:pt>
                <c:pt idx="49">
                  <c:v>94.6</c:v>
                </c:pt>
                <c:pt idx="50">
                  <c:v>94.7</c:v>
                </c:pt>
                <c:pt idx="51">
                  <c:v>94.9</c:v>
                </c:pt>
                <c:pt idx="52">
                  <c:v>95.1</c:v>
                </c:pt>
                <c:pt idx="53">
                  <c:v>95.2</c:v>
                </c:pt>
                <c:pt idx="54">
                  <c:v>95.3</c:v>
                </c:pt>
                <c:pt idx="55">
                  <c:v>95.4</c:v>
                </c:pt>
                <c:pt idx="56">
                  <c:v>95.5</c:v>
                </c:pt>
                <c:pt idx="57">
                  <c:v>95.6</c:v>
                </c:pt>
                <c:pt idx="58">
                  <c:v>95.7</c:v>
                </c:pt>
                <c:pt idx="59">
                  <c:v>95.9</c:v>
                </c:pt>
                <c:pt idx="60">
                  <c:v>96</c:v>
                </c:pt>
                <c:pt idx="61">
                  <c:v>96.2</c:v>
                </c:pt>
                <c:pt idx="62">
                  <c:v>96.3</c:v>
                </c:pt>
                <c:pt idx="63">
                  <c:v>96.8</c:v>
                </c:pt>
                <c:pt idx="64">
                  <c:v>96.9</c:v>
                </c:pt>
                <c:pt idx="65">
                  <c:v>97.2</c:v>
                </c:pt>
                <c:pt idx="66">
                  <c:v>97.4</c:v>
                </c:pt>
                <c:pt idx="67">
                  <c:v>97.6</c:v>
                </c:pt>
                <c:pt idx="68">
                  <c:v>97.7</c:v>
                </c:pt>
                <c:pt idx="69">
                  <c:v>98</c:v>
                </c:pt>
                <c:pt idx="70">
                  <c:v>98.1</c:v>
                </c:pt>
                <c:pt idx="71">
                  <c:v>98.2</c:v>
                </c:pt>
                <c:pt idx="72">
                  <c:v>98.3</c:v>
                </c:pt>
                <c:pt idx="73">
                  <c:v>98.4</c:v>
                </c:pt>
                <c:pt idx="74">
                  <c:v>98.6</c:v>
                </c:pt>
                <c:pt idx="75">
                  <c:v>98.8</c:v>
                </c:pt>
                <c:pt idx="76">
                  <c:v>98.9</c:v>
                </c:pt>
                <c:pt idx="77">
                  <c:v>99</c:v>
                </c:pt>
                <c:pt idx="78">
                  <c:v>99.3</c:v>
                </c:pt>
                <c:pt idx="79">
                  <c:v>99.4</c:v>
                </c:pt>
                <c:pt idx="80">
                  <c:v>100</c:v>
                </c:pt>
                <c:pt idx="81">
                  <c:v>Not Available</c:v>
                </c:pt>
              </c:strCache>
            </c:strRef>
          </c:cat>
          <c:val>
            <c:numRef>
              <c:f>'Dashboard Data'!$C$15:$C$96</c:f>
              <c:numCache>
                <c:formatCode>0.0</c:formatCode>
                <c:ptCount val="82"/>
                <c:pt idx="0">
                  <c:v>85</c:v>
                </c:pt>
                <c:pt idx="1">
                  <c:v>86</c:v>
                </c:pt>
                <c:pt idx="2">
                  <c:v>100</c:v>
                </c:pt>
                <c:pt idx="3">
                  <c:v>0</c:v>
                </c:pt>
                <c:pt idx="4">
                  <c:v>69</c:v>
                </c:pt>
                <c:pt idx="5">
                  <c:v>79</c:v>
                </c:pt>
                <c:pt idx="6">
                  <c:v>70</c:v>
                </c:pt>
                <c:pt idx="7">
                  <c:v>61</c:v>
                </c:pt>
                <c:pt idx="8">
                  <c:v>89</c:v>
                </c:pt>
                <c:pt idx="9">
                  <c:v>71</c:v>
                </c:pt>
                <c:pt idx="10">
                  <c:v>75</c:v>
                </c:pt>
                <c:pt idx="11">
                  <c:v>80.5</c:v>
                </c:pt>
                <c:pt idx="12">
                  <c:v>86.5</c:v>
                </c:pt>
                <c:pt idx="13">
                  <c:v>66</c:v>
                </c:pt>
                <c:pt idx="14">
                  <c:v>87</c:v>
                </c:pt>
                <c:pt idx="15">
                  <c:v>73.5</c:v>
                </c:pt>
                <c:pt idx="16">
                  <c:v>79</c:v>
                </c:pt>
                <c:pt idx="17">
                  <c:v>67</c:v>
                </c:pt>
                <c:pt idx="18">
                  <c:v>72</c:v>
                </c:pt>
                <c:pt idx="19">
                  <c:v>100</c:v>
                </c:pt>
                <c:pt idx="20">
                  <c:v>93</c:v>
                </c:pt>
                <c:pt idx="21">
                  <c:v>92</c:v>
                </c:pt>
                <c:pt idx="22">
                  <c:v>87.5</c:v>
                </c:pt>
                <c:pt idx="23">
                  <c:v>58</c:v>
                </c:pt>
                <c:pt idx="24">
                  <c:v>81.5</c:v>
                </c:pt>
                <c:pt idx="25">
                  <c:v>85</c:v>
                </c:pt>
                <c:pt idx="26">
                  <c:v>74</c:v>
                </c:pt>
                <c:pt idx="27">
                  <c:v>65</c:v>
                </c:pt>
                <c:pt idx="28">
                  <c:v>76</c:v>
                </c:pt>
                <c:pt idx="29">
                  <c:v>66</c:v>
                </c:pt>
                <c:pt idx="30">
                  <c:v>82</c:v>
                </c:pt>
                <c:pt idx="31">
                  <c:v>74</c:v>
                </c:pt>
                <c:pt idx="32">
                  <c:v>78</c:v>
                </c:pt>
                <c:pt idx="33">
                  <c:v>75</c:v>
                </c:pt>
                <c:pt idx="34">
                  <c:v>97</c:v>
                </c:pt>
                <c:pt idx="35">
                  <c:v>85</c:v>
                </c:pt>
                <c:pt idx="36">
                  <c:v>85.5</c:v>
                </c:pt>
                <c:pt idx="37">
                  <c:v>72</c:v>
                </c:pt>
                <c:pt idx="38">
                  <c:v>88</c:v>
                </c:pt>
                <c:pt idx="39">
                  <c:v>76</c:v>
                </c:pt>
                <c:pt idx="40">
                  <c:v>88</c:v>
                </c:pt>
                <c:pt idx="41">
                  <c:v>86</c:v>
                </c:pt>
                <c:pt idx="42">
                  <c:v>81.666666666666671</c:v>
                </c:pt>
                <c:pt idx="43">
                  <c:v>74.5</c:v>
                </c:pt>
                <c:pt idx="44">
                  <c:v>87</c:v>
                </c:pt>
                <c:pt idx="45">
                  <c:v>62.5</c:v>
                </c:pt>
                <c:pt idx="46">
                  <c:v>65</c:v>
                </c:pt>
                <c:pt idx="47">
                  <c:v>84</c:v>
                </c:pt>
                <c:pt idx="48">
                  <c:v>69</c:v>
                </c:pt>
                <c:pt idx="49">
                  <c:v>82.5</c:v>
                </c:pt>
                <c:pt idx="50">
                  <c:v>100</c:v>
                </c:pt>
                <c:pt idx="51">
                  <c:v>92.5</c:v>
                </c:pt>
                <c:pt idx="52">
                  <c:v>79</c:v>
                </c:pt>
                <c:pt idx="53">
                  <c:v>48</c:v>
                </c:pt>
                <c:pt idx="54">
                  <c:v>64</c:v>
                </c:pt>
                <c:pt idx="55">
                  <c:v>78</c:v>
                </c:pt>
                <c:pt idx="56">
                  <c:v>83</c:v>
                </c:pt>
                <c:pt idx="57">
                  <c:v>83</c:v>
                </c:pt>
                <c:pt idx="58">
                  <c:v>0</c:v>
                </c:pt>
                <c:pt idx="59">
                  <c:v>90</c:v>
                </c:pt>
                <c:pt idx="60">
                  <c:v>79.5</c:v>
                </c:pt>
                <c:pt idx="61">
                  <c:v>100</c:v>
                </c:pt>
                <c:pt idx="62">
                  <c:v>85.5</c:v>
                </c:pt>
                <c:pt idx="63">
                  <c:v>78</c:v>
                </c:pt>
                <c:pt idx="64">
                  <c:v>67.5</c:v>
                </c:pt>
                <c:pt idx="65">
                  <c:v>80</c:v>
                </c:pt>
                <c:pt idx="66">
                  <c:v>61</c:v>
                </c:pt>
                <c:pt idx="67">
                  <c:v>60</c:v>
                </c:pt>
                <c:pt idx="68">
                  <c:v>77</c:v>
                </c:pt>
                <c:pt idx="69">
                  <c:v>55</c:v>
                </c:pt>
                <c:pt idx="70">
                  <c:v>83</c:v>
                </c:pt>
                <c:pt idx="71">
                  <c:v>75</c:v>
                </c:pt>
                <c:pt idx="72">
                  <c:v>79</c:v>
                </c:pt>
                <c:pt idx="73">
                  <c:v>61.5</c:v>
                </c:pt>
                <c:pt idx="74">
                  <c:v>76</c:v>
                </c:pt>
                <c:pt idx="75">
                  <c:v>78</c:v>
                </c:pt>
                <c:pt idx="76">
                  <c:v>68</c:v>
                </c:pt>
                <c:pt idx="77">
                  <c:v>100</c:v>
                </c:pt>
                <c:pt idx="78">
                  <c:v>60</c:v>
                </c:pt>
                <c:pt idx="79">
                  <c:v>81.5</c:v>
                </c:pt>
                <c:pt idx="80">
                  <c:v>79.666666666666671</c:v>
                </c:pt>
                <c:pt idx="81">
                  <c:v>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9-4A75-98E7-E8BE87C87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0207455"/>
        <c:axId val="1387836735"/>
      </c:barChart>
      <c:catAx>
        <c:axId val="1470207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Attendance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36735"/>
        <c:crosses val="autoZero"/>
        <c:auto val="1"/>
        <c:lblAlgn val="ctr"/>
        <c:lblOffset val="100"/>
        <c:noMultiLvlLbl val="0"/>
      </c:catAx>
      <c:valAx>
        <c:axId val="138783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Assessment</a:t>
                </a:r>
                <a:r>
                  <a:rPr lang="en-US" baseline="0"/>
                  <a:t>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0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Attendance by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Data'!$B$5</c:f>
              <c:strCache>
                <c:ptCount val="1"/>
                <c:pt idx="0">
                  <c:v>Grade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'Dashboard Data'!$B$6:$B$9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F-4DD4-A481-BB26FFB823EE}"/>
            </c:ext>
          </c:extLst>
        </c:ser>
        <c:ser>
          <c:idx val="1"/>
          <c:order val="1"/>
          <c:tx>
            <c:strRef>
              <c:f>'Dashboard Data'!$C$5</c:f>
              <c:strCache>
                <c:ptCount val="1"/>
                <c:pt idx="0">
                  <c:v>Average Attendance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'Dashboard Data'!$C$6:$C$9</c:f>
              <c:numCache>
                <c:formatCode>0.0</c:formatCode>
                <c:ptCount val="4"/>
                <c:pt idx="0">
                  <c:v>91.485185185185188</c:v>
                </c:pt>
                <c:pt idx="1">
                  <c:v>91.28</c:v>
                </c:pt>
                <c:pt idx="2">
                  <c:v>93.477272727272734</c:v>
                </c:pt>
                <c:pt idx="3">
                  <c:v>91.534146341463412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7F-4DD4-A481-BB26FFB823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00353871"/>
        <c:axId val="1467041967"/>
      </c:barChart>
      <c:catAx>
        <c:axId val="1500353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41967"/>
        <c:crosses val="autoZero"/>
        <c:auto val="1"/>
        <c:lblAlgn val="ctr"/>
        <c:lblOffset val="100"/>
        <c:noMultiLvlLbl val="0"/>
      </c:catAx>
      <c:valAx>
        <c:axId val="146704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35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Assessment Score by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Data'!$F$5</c:f>
              <c:strCache>
                <c:ptCount val="1"/>
                <c:pt idx="0">
                  <c:v>Grade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'Dashboard Data'!$F$6:$F$9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B56-9D3E-EE4D9790743C}"/>
            </c:ext>
          </c:extLst>
        </c:ser>
        <c:ser>
          <c:idx val="1"/>
          <c:order val="1"/>
          <c:tx>
            <c:strRef>
              <c:f>'Dashboard Data'!$G$5</c:f>
              <c:strCache>
                <c:ptCount val="1"/>
                <c:pt idx="0">
                  <c:v>Average Assessment Score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'Dashboard Data'!$G$6:$G$9</c:f>
              <c:numCache>
                <c:formatCode>0.0</c:formatCode>
                <c:ptCount val="4"/>
                <c:pt idx="0">
                  <c:v>80.481481481481481</c:v>
                </c:pt>
                <c:pt idx="1">
                  <c:v>75.8</c:v>
                </c:pt>
                <c:pt idx="2">
                  <c:v>76.956521739130437</c:v>
                </c:pt>
                <c:pt idx="3">
                  <c:v>78.615384615384613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B56-9D3E-EE4D979074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28359407"/>
        <c:axId val="1524798591"/>
      </c:barChart>
      <c:catAx>
        <c:axId val="152835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98591"/>
        <c:crosses val="autoZero"/>
        <c:auto val="1"/>
        <c:lblAlgn val="ctr"/>
        <c:lblOffset val="100"/>
        <c:noMultiLvlLbl val="0"/>
      </c:catAx>
      <c:valAx>
        <c:axId val="152479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Assessment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5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Assessment Score by Program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Data'!$K$5</c:f>
              <c:strCache>
                <c:ptCount val="1"/>
                <c:pt idx="0">
                  <c:v>Average of Assessment_Score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Data'!$J$6:$J$9</c:f>
              <c:strCache>
                <c:ptCount val="4"/>
                <c:pt idx="0">
                  <c:v>Core</c:v>
                </c:pt>
                <c:pt idx="1">
                  <c:v>MTSS Tier 1</c:v>
                </c:pt>
                <c:pt idx="2">
                  <c:v>MTSS Tier 2</c:v>
                </c:pt>
                <c:pt idx="3">
                  <c:v>MTSS Tier 3</c:v>
                </c:pt>
              </c:strCache>
            </c:strRef>
          </c:cat>
          <c:val>
            <c:numRef>
              <c:f>'Dashboard Data'!$K$6:$K$9</c:f>
              <c:numCache>
                <c:formatCode>0.0</c:formatCode>
                <c:ptCount val="4"/>
                <c:pt idx="0">
                  <c:v>78.75</c:v>
                </c:pt>
                <c:pt idx="1">
                  <c:v>74.709677419354833</c:v>
                </c:pt>
                <c:pt idx="2">
                  <c:v>80.058823529411768</c:v>
                </c:pt>
                <c:pt idx="3">
                  <c:v>81.7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5-40D6-8BE4-A5542C66B0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29928543"/>
        <c:axId val="1489508303"/>
      </c:barChart>
      <c:catAx>
        <c:axId val="1529928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Program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08303"/>
        <c:crosses val="autoZero"/>
        <c:auto val="1"/>
        <c:lblAlgn val="ctr"/>
        <c:lblOffset val="100"/>
        <c:noMultiLvlLbl val="0"/>
      </c:catAx>
      <c:valAx>
        <c:axId val="14895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Assessment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92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Vs Assessment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Data'!$C$14</c:f>
              <c:strCache>
                <c:ptCount val="1"/>
                <c:pt idx="0">
                  <c:v>Average of Assessment_Score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Data'!$B$15:$B$96</c:f>
              <c:strCache>
                <c:ptCount val="82"/>
                <c:pt idx="0">
                  <c:v>75</c:v>
                </c:pt>
                <c:pt idx="1">
                  <c:v>75.3</c:v>
                </c:pt>
                <c:pt idx="2">
                  <c:v>76.3</c:v>
                </c:pt>
                <c:pt idx="3">
                  <c:v>79.2</c:v>
                </c:pt>
                <c:pt idx="4">
                  <c:v>79.4</c:v>
                </c:pt>
                <c:pt idx="5">
                  <c:v>80.4</c:v>
                </c:pt>
                <c:pt idx="6">
                  <c:v>81.1</c:v>
                </c:pt>
                <c:pt idx="7">
                  <c:v>81.6</c:v>
                </c:pt>
                <c:pt idx="8">
                  <c:v>82.1</c:v>
                </c:pt>
                <c:pt idx="9">
                  <c:v>83.3</c:v>
                </c:pt>
                <c:pt idx="10">
                  <c:v>83.6</c:v>
                </c:pt>
                <c:pt idx="11">
                  <c:v>83.8</c:v>
                </c:pt>
                <c:pt idx="12">
                  <c:v>84.2</c:v>
                </c:pt>
                <c:pt idx="13">
                  <c:v>84.4</c:v>
                </c:pt>
                <c:pt idx="14">
                  <c:v>84.5</c:v>
                </c:pt>
                <c:pt idx="15">
                  <c:v>84.6</c:v>
                </c:pt>
                <c:pt idx="16">
                  <c:v>85.4</c:v>
                </c:pt>
                <c:pt idx="17">
                  <c:v>85.5</c:v>
                </c:pt>
                <c:pt idx="18">
                  <c:v>86.1</c:v>
                </c:pt>
                <c:pt idx="19">
                  <c:v>86.3</c:v>
                </c:pt>
                <c:pt idx="20">
                  <c:v>86.7</c:v>
                </c:pt>
                <c:pt idx="21">
                  <c:v>87.1</c:v>
                </c:pt>
                <c:pt idx="22">
                  <c:v>87.9</c:v>
                </c:pt>
                <c:pt idx="23">
                  <c:v>88.4</c:v>
                </c:pt>
                <c:pt idx="24">
                  <c:v>88.6</c:v>
                </c:pt>
                <c:pt idx="25">
                  <c:v>88.7</c:v>
                </c:pt>
                <c:pt idx="26">
                  <c:v>88.9</c:v>
                </c:pt>
                <c:pt idx="27">
                  <c:v>89.1</c:v>
                </c:pt>
                <c:pt idx="28">
                  <c:v>89.3</c:v>
                </c:pt>
                <c:pt idx="29">
                  <c:v>89.9</c:v>
                </c:pt>
                <c:pt idx="30">
                  <c:v>90</c:v>
                </c:pt>
                <c:pt idx="31">
                  <c:v>90.6</c:v>
                </c:pt>
                <c:pt idx="32">
                  <c:v>91.1</c:v>
                </c:pt>
                <c:pt idx="33">
                  <c:v>91.2</c:v>
                </c:pt>
                <c:pt idx="34">
                  <c:v>91.5</c:v>
                </c:pt>
                <c:pt idx="35">
                  <c:v>91.7</c:v>
                </c:pt>
                <c:pt idx="36">
                  <c:v>91.8</c:v>
                </c:pt>
                <c:pt idx="37">
                  <c:v>92</c:v>
                </c:pt>
                <c:pt idx="38">
                  <c:v>92.2</c:v>
                </c:pt>
                <c:pt idx="39">
                  <c:v>92.4</c:v>
                </c:pt>
                <c:pt idx="40">
                  <c:v>92.6</c:v>
                </c:pt>
                <c:pt idx="41">
                  <c:v>93</c:v>
                </c:pt>
                <c:pt idx="42">
                  <c:v>93.1</c:v>
                </c:pt>
                <c:pt idx="43">
                  <c:v>93.3</c:v>
                </c:pt>
                <c:pt idx="44">
                  <c:v>93.5</c:v>
                </c:pt>
                <c:pt idx="45">
                  <c:v>93.6</c:v>
                </c:pt>
                <c:pt idx="46">
                  <c:v>93.7</c:v>
                </c:pt>
                <c:pt idx="47">
                  <c:v>93.8</c:v>
                </c:pt>
                <c:pt idx="48">
                  <c:v>94</c:v>
                </c:pt>
                <c:pt idx="49">
                  <c:v>94.6</c:v>
                </c:pt>
                <c:pt idx="50">
                  <c:v>94.7</c:v>
                </c:pt>
                <c:pt idx="51">
                  <c:v>94.9</c:v>
                </c:pt>
                <c:pt idx="52">
                  <c:v>95.1</c:v>
                </c:pt>
                <c:pt idx="53">
                  <c:v>95.2</c:v>
                </c:pt>
                <c:pt idx="54">
                  <c:v>95.3</c:v>
                </c:pt>
                <c:pt idx="55">
                  <c:v>95.4</c:v>
                </c:pt>
                <c:pt idx="56">
                  <c:v>95.5</c:v>
                </c:pt>
                <c:pt idx="57">
                  <c:v>95.6</c:v>
                </c:pt>
                <c:pt idx="58">
                  <c:v>95.7</c:v>
                </c:pt>
                <c:pt idx="59">
                  <c:v>95.9</c:v>
                </c:pt>
                <c:pt idx="60">
                  <c:v>96</c:v>
                </c:pt>
                <c:pt idx="61">
                  <c:v>96.2</c:v>
                </c:pt>
                <c:pt idx="62">
                  <c:v>96.3</c:v>
                </c:pt>
                <c:pt idx="63">
                  <c:v>96.8</c:v>
                </c:pt>
                <c:pt idx="64">
                  <c:v>96.9</c:v>
                </c:pt>
                <c:pt idx="65">
                  <c:v>97.2</c:v>
                </c:pt>
                <c:pt idx="66">
                  <c:v>97.4</c:v>
                </c:pt>
                <c:pt idx="67">
                  <c:v>97.6</c:v>
                </c:pt>
                <c:pt idx="68">
                  <c:v>97.7</c:v>
                </c:pt>
                <c:pt idx="69">
                  <c:v>98</c:v>
                </c:pt>
                <c:pt idx="70">
                  <c:v>98.1</c:v>
                </c:pt>
                <c:pt idx="71">
                  <c:v>98.2</c:v>
                </c:pt>
                <c:pt idx="72">
                  <c:v>98.3</c:v>
                </c:pt>
                <c:pt idx="73">
                  <c:v>98.4</c:v>
                </c:pt>
                <c:pt idx="74">
                  <c:v>98.6</c:v>
                </c:pt>
                <c:pt idx="75">
                  <c:v>98.8</c:v>
                </c:pt>
                <c:pt idx="76">
                  <c:v>98.9</c:v>
                </c:pt>
                <c:pt idx="77">
                  <c:v>99</c:v>
                </c:pt>
                <c:pt idx="78">
                  <c:v>99.3</c:v>
                </c:pt>
                <c:pt idx="79">
                  <c:v>99.4</c:v>
                </c:pt>
                <c:pt idx="80">
                  <c:v>100</c:v>
                </c:pt>
                <c:pt idx="81">
                  <c:v>Not Available</c:v>
                </c:pt>
              </c:strCache>
            </c:strRef>
          </c:cat>
          <c:val>
            <c:numRef>
              <c:f>'Dashboard Data'!$C$15:$C$96</c:f>
              <c:numCache>
                <c:formatCode>0.0</c:formatCode>
                <c:ptCount val="82"/>
                <c:pt idx="0">
                  <c:v>85</c:v>
                </c:pt>
                <c:pt idx="1">
                  <c:v>86</c:v>
                </c:pt>
                <c:pt idx="2">
                  <c:v>100</c:v>
                </c:pt>
                <c:pt idx="3">
                  <c:v>0</c:v>
                </c:pt>
                <c:pt idx="4">
                  <c:v>69</c:v>
                </c:pt>
                <c:pt idx="5">
                  <c:v>79</c:v>
                </c:pt>
                <c:pt idx="6">
                  <c:v>70</c:v>
                </c:pt>
                <c:pt idx="7">
                  <c:v>61</c:v>
                </c:pt>
                <c:pt idx="8">
                  <c:v>89</c:v>
                </c:pt>
                <c:pt idx="9">
                  <c:v>71</c:v>
                </c:pt>
                <c:pt idx="10">
                  <c:v>75</c:v>
                </c:pt>
                <c:pt idx="11">
                  <c:v>80.5</c:v>
                </c:pt>
                <c:pt idx="12">
                  <c:v>86.5</c:v>
                </c:pt>
                <c:pt idx="13">
                  <c:v>66</c:v>
                </c:pt>
                <c:pt idx="14">
                  <c:v>87</c:v>
                </c:pt>
                <c:pt idx="15">
                  <c:v>73.5</c:v>
                </c:pt>
                <c:pt idx="16">
                  <c:v>79</c:v>
                </c:pt>
                <c:pt idx="17">
                  <c:v>67</c:v>
                </c:pt>
                <c:pt idx="18">
                  <c:v>72</c:v>
                </c:pt>
                <c:pt idx="19">
                  <c:v>100</c:v>
                </c:pt>
                <c:pt idx="20">
                  <c:v>93</c:v>
                </c:pt>
                <c:pt idx="21">
                  <c:v>92</c:v>
                </c:pt>
                <c:pt idx="22">
                  <c:v>87.5</c:v>
                </c:pt>
                <c:pt idx="23">
                  <c:v>58</c:v>
                </c:pt>
                <c:pt idx="24">
                  <c:v>81.5</c:v>
                </c:pt>
                <c:pt idx="25">
                  <c:v>85</c:v>
                </c:pt>
                <c:pt idx="26">
                  <c:v>74</c:v>
                </c:pt>
                <c:pt idx="27">
                  <c:v>65</c:v>
                </c:pt>
                <c:pt idx="28">
                  <c:v>76</c:v>
                </c:pt>
                <c:pt idx="29">
                  <c:v>66</c:v>
                </c:pt>
                <c:pt idx="30">
                  <c:v>82</c:v>
                </c:pt>
                <c:pt idx="31">
                  <c:v>74</c:v>
                </c:pt>
                <c:pt idx="32">
                  <c:v>78</c:v>
                </c:pt>
                <c:pt idx="33">
                  <c:v>75</c:v>
                </c:pt>
                <c:pt idx="34">
                  <c:v>97</c:v>
                </c:pt>
                <c:pt idx="35">
                  <c:v>85</c:v>
                </c:pt>
                <c:pt idx="36">
                  <c:v>85.5</c:v>
                </c:pt>
                <c:pt idx="37">
                  <c:v>72</c:v>
                </c:pt>
                <c:pt idx="38">
                  <c:v>88</c:v>
                </c:pt>
                <c:pt idx="39">
                  <c:v>76</c:v>
                </c:pt>
                <c:pt idx="40">
                  <c:v>88</c:v>
                </c:pt>
                <c:pt idx="41">
                  <c:v>86</c:v>
                </c:pt>
                <c:pt idx="42">
                  <c:v>81.666666666666671</c:v>
                </c:pt>
                <c:pt idx="43">
                  <c:v>74.5</c:v>
                </c:pt>
                <c:pt idx="44">
                  <c:v>87</c:v>
                </c:pt>
                <c:pt idx="45">
                  <c:v>62.5</c:v>
                </c:pt>
                <c:pt idx="46">
                  <c:v>65</c:v>
                </c:pt>
                <c:pt idx="47">
                  <c:v>84</c:v>
                </c:pt>
                <c:pt idx="48">
                  <c:v>69</c:v>
                </c:pt>
                <c:pt idx="49">
                  <c:v>82.5</c:v>
                </c:pt>
                <c:pt idx="50">
                  <c:v>100</c:v>
                </c:pt>
                <c:pt idx="51">
                  <c:v>92.5</c:v>
                </c:pt>
                <c:pt idx="52">
                  <c:v>79</c:v>
                </c:pt>
                <c:pt idx="53">
                  <c:v>48</c:v>
                </c:pt>
                <c:pt idx="54">
                  <c:v>64</c:v>
                </c:pt>
                <c:pt idx="55">
                  <c:v>78</c:v>
                </c:pt>
                <c:pt idx="56">
                  <c:v>83</c:v>
                </c:pt>
                <c:pt idx="57">
                  <c:v>83</c:v>
                </c:pt>
                <c:pt idx="58">
                  <c:v>0</c:v>
                </c:pt>
                <c:pt idx="59">
                  <c:v>90</c:v>
                </c:pt>
                <c:pt idx="60">
                  <c:v>79.5</c:v>
                </c:pt>
                <c:pt idx="61">
                  <c:v>100</c:v>
                </c:pt>
                <c:pt idx="62">
                  <c:v>85.5</c:v>
                </c:pt>
                <c:pt idx="63">
                  <c:v>78</c:v>
                </c:pt>
                <c:pt idx="64">
                  <c:v>67.5</c:v>
                </c:pt>
                <c:pt idx="65">
                  <c:v>80</c:v>
                </c:pt>
                <c:pt idx="66">
                  <c:v>61</c:v>
                </c:pt>
                <c:pt idx="67">
                  <c:v>60</c:v>
                </c:pt>
                <c:pt idx="68">
                  <c:v>77</c:v>
                </c:pt>
                <c:pt idx="69">
                  <c:v>55</c:v>
                </c:pt>
                <c:pt idx="70">
                  <c:v>83</c:v>
                </c:pt>
                <c:pt idx="71">
                  <c:v>75</c:v>
                </c:pt>
                <c:pt idx="72">
                  <c:v>79</c:v>
                </c:pt>
                <c:pt idx="73">
                  <c:v>61.5</c:v>
                </c:pt>
                <c:pt idx="74">
                  <c:v>76</c:v>
                </c:pt>
                <c:pt idx="75">
                  <c:v>78</c:v>
                </c:pt>
                <c:pt idx="76">
                  <c:v>68</c:v>
                </c:pt>
                <c:pt idx="77">
                  <c:v>100</c:v>
                </c:pt>
                <c:pt idx="78">
                  <c:v>60</c:v>
                </c:pt>
                <c:pt idx="79">
                  <c:v>81.5</c:v>
                </c:pt>
                <c:pt idx="80">
                  <c:v>79.666666666666671</c:v>
                </c:pt>
                <c:pt idx="81">
                  <c:v>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2-4B3C-ADAC-2DA1DC022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0207455"/>
        <c:axId val="1387836735"/>
      </c:barChart>
      <c:catAx>
        <c:axId val="1470207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Attendance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36735"/>
        <c:crosses val="autoZero"/>
        <c:auto val="1"/>
        <c:lblAlgn val="ctr"/>
        <c:lblOffset val="100"/>
        <c:noMultiLvlLbl val="0"/>
      </c:catAx>
      <c:valAx>
        <c:axId val="138783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Assessment</a:t>
                </a:r>
                <a:r>
                  <a:rPr lang="en-US" baseline="0"/>
                  <a:t>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0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10</xdr:row>
      <xdr:rowOff>142875</xdr:rowOff>
    </xdr:from>
    <xdr:to>
      <xdr:col>3</xdr:col>
      <xdr:colOff>1190625</xdr:colOff>
      <xdr:row>25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883585-F619-05EF-DDC2-A26AB13C3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10</xdr:row>
      <xdr:rowOff>114300</xdr:rowOff>
    </xdr:from>
    <xdr:to>
      <xdr:col>10</xdr:col>
      <xdr:colOff>66675</xdr:colOff>
      <xdr:row>25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F58EB8-DB69-46DF-88E2-A8C1E108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3</xdr:col>
      <xdr:colOff>914400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9C762A-0E32-4E85-8FA1-E5BED4F48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5</xdr:row>
      <xdr:rowOff>180975</xdr:rowOff>
    </xdr:from>
    <xdr:to>
      <xdr:col>8</xdr:col>
      <xdr:colOff>342900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76092C-ED92-4F50-ACE1-2DF825FC5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8</xdr:col>
      <xdr:colOff>219075</xdr:colOff>
      <xdr:row>20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450B91-BDD3-480B-9A27-2B4A1A0B3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</xdr:row>
      <xdr:rowOff>0</xdr:rowOff>
    </xdr:from>
    <xdr:to>
      <xdr:col>17</xdr:col>
      <xdr:colOff>304800</xdr:colOff>
      <xdr:row>20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69E9DD-1BA3-481A-9834-9D173EDF6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24</xdr:row>
      <xdr:rowOff>0</xdr:rowOff>
    </xdr:from>
    <xdr:to>
      <xdr:col>8</xdr:col>
      <xdr:colOff>219075</xdr:colOff>
      <xdr:row>38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51D653-061A-4910-B640-555B6CD54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19</xdr:col>
      <xdr:colOff>0</xdr:colOff>
      <xdr:row>38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5B1BB-D5A5-475B-BFA3-4424B94B6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ini Akula Ramesh" refreshedDate="46257.680849999997" createdVersion="8" refreshedVersion="8" minRefreshableVersion="3" recordCount="117" xr:uid="{2FB0E76B-4BFB-46BF-B02B-1B43B3049EF9}">
  <cacheSource type="worksheet">
    <worksheetSource ref="A1:L118" sheet="Student_Outcome_Analysis"/>
  </cacheSource>
  <cacheFields count="12">
    <cacheField name="Student_ID" numFmtId="0">
      <sharedItems/>
    </cacheField>
    <cacheField name="Full Name" numFmtId="0">
      <sharedItems/>
    </cacheField>
    <cacheField name="Grade" numFmtId="0">
      <sharedItems containsSemiMixedTypes="0" containsString="0" containsNumber="1" containsInteger="1" minValue="5" maxValue="8" count="4">
        <n v="8"/>
        <n v="5"/>
        <n v="7"/>
        <n v="6"/>
      </sharedItems>
    </cacheField>
    <cacheField name="Program" numFmtId="0">
      <sharedItems count="4">
        <s v="MTSS Tier 2"/>
        <s v="MTSS Tier 1"/>
        <s v="Core"/>
        <s v="MTSS Tier 3"/>
      </sharedItems>
    </cacheField>
    <cacheField name="Enrollment_Status" numFmtId="0">
      <sharedItems/>
    </cacheField>
    <cacheField name="Attendance_Rate" numFmtId="0">
      <sharedItems containsMixedTypes="1" containsNumber="1" minValue="75" maxValue="100" count="82">
        <n v="87.1"/>
        <n v="94.9"/>
        <n v="97.2"/>
        <n v="100"/>
        <n v="88.4"/>
        <s v="Not Available"/>
        <n v="82.1"/>
        <n v="84.2"/>
        <n v="93.5"/>
        <n v="86.1"/>
        <n v="83.3"/>
        <n v="95.1"/>
        <n v="80.400000000000006"/>
        <n v="98.6"/>
        <n v="89.3"/>
        <n v="95.7"/>
        <n v="96.2"/>
        <n v="96.9"/>
        <n v="75.3"/>
        <n v="94.6"/>
        <n v="99.3"/>
        <n v="93.6"/>
        <n v="98.1"/>
        <n v="87.9"/>
        <n v="95.9"/>
        <n v="83.6"/>
        <n v="95.4"/>
        <n v="98.9"/>
        <n v="91.8"/>
        <n v="92.4"/>
        <n v="95.3"/>
        <n v="83.8"/>
        <n v="89.1"/>
        <n v="93.1"/>
        <n v="95.6"/>
        <n v="94.7"/>
        <n v="79.2"/>
        <n v="98.3"/>
        <n v="86.7"/>
        <n v="84.6"/>
        <n v="88.6"/>
        <n v="91.1"/>
        <n v="88.7"/>
        <n v="96.3"/>
        <n v="97.7"/>
        <n v="98"/>
        <n v="91.2"/>
        <n v="93.3"/>
        <n v="98.8"/>
        <n v="96"/>
        <n v="81.099999999999994"/>
        <n v="76.3"/>
        <n v="97.6"/>
        <n v="93.8"/>
        <n v="93.7"/>
        <n v="99"/>
        <n v="94"/>
        <n v="99.4"/>
        <n v="93"/>
        <n v="84.5"/>
        <n v="85.4"/>
        <n v="75"/>
        <n v="95.5"/>
        <n v="79.400000000000006"/>
        <n v="98.4"/>
        <n v="97.4"/>
        <n v="85.5"/>
        <n v="92"/>
        <n v="84.4"/>
        <n v="90.6"/>
        <n v="91.7"/>
        <n v="98.2"/>
        <n v="81.599999999999994"/>
        <n v="89.9"/>
        <n v="92.6"/>
        <n v="86.3"/>
        <n v="90"/>
        <n v="96.8"/>
        <n v="91.5"/>
        <n v="92.2"/>
        <n v="88.9"/>
        <n v="95.2"/>
      </sharedItems>
    </cacheField>
    <cacheField name="Assessment" numFmtId="0">
      <sharedItems/>
    </cacheField>
    <cacheField name="Assessment_Date" numFmtId="164">
      <sharedItems containsDate="1" containsMixedTypes="1" minDate="2026-01-15T00:00:00" maxDate="2026-04-15T00:00:00"/>
    </cacheField>
    <cacheField name="Assessment_Score" numFmtId="0">
      <sharedItems containsMixedTypes="1" containsNumber="1" containsInteger="1" minValue="43" maxValue="100"/>
    </cacheField>
    <cacheField name="Benchmark" numFmtId="0">
      <sharedItems/>
    </cacheField>
    <cacheField name="Discipline_Incidents" numFmtId="0">
      <sharedItems containsMixedTypes="1" containsNumber="1" containsInteger="1" minValue="0" maxValue="6" count="8">
        <n v="1"/>
        <n v="0"/>
        <n v="2"/>
        <s v="Not Available"/>
        <n v="3"/>
        <n v="4"/>
        <n v="5"/>
        <n v="6"/>
      </sharedItems>
    </cacheField>
    <cacheField name="Major_Incidents" numFmtId="0">
      <sharedItems containsMixedTypes="1" containsNumber="1" containsInteger="1" minValue="0" maxValue="2" count="4">
        <n v="0"/>
        <s v="Not Available"/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ini Akula Ramesh" refreshedDate="46257.86710358796" createdVersion="8" refreshedVersion="8" minRefreshableVersion="3" recordCount="118" xr:uid="{CF9E32A3-460C-4512-8A2D-E144F4346DA6}">
  <cacheSource type="worksheet">
    <worksheetSource ref="A1:L1048576" sheet="Student_Outcome_Analysis"/>
  </cacheSource>
  <cacheFields count="12">
    <cacheField name="Student_ID" numFmtId="0">
      <sharedItems containsBlank="1"/>
    </cacheField>
    <cacheField name="Full Name" numFmtId="0">
      <sharedItems containsBlank="1"/>
    </cacheField>
    <cacheField name="Grade" numFmtId="0">
      <sharedItems containsString="0" containsBlank="1" containsNumber="1" containsInteger="1" minValue="5" maxValue="8"/>
    </cacheField>
    <cacheField name="Program" numFmtId="0">
      <sharedItems containsBlank="1"/>
    </cacheField>
    <cacheField name="Enrollment_Status" numFmtId="0">
      <sharedItems containsBlank="1"/>
    </cacheField>
    <cacheField name="Attendance_Rate" numFmtId="0">
      <sharedItems containsBlank="1" containsMixedTypes="1" containsNumber="1" minValue="75" maxValue="100" count="83">
        <n v="87.1"/>
        <n v="94.9"/>
        <n v="97.2"/>
        <n v="100"/>
        <n v="88.4"/>
        <s v="Not Available"/>
        <n v="82.1"/>
        <n v="84.2"/>
        <n v="93.5"/>
        <n v="86.1"/>
        <n v="83.3"/>
        <n v="95.1"/>
        <n v="80.400000000000006"/>
        <n v="98.6"/>
        <n v="89.3"/>
        <n v="95.7"/>
        <n v="96.2"/>
        <n v="96.9"/>
        <n v="75.3"/>
        <n v="94.6"/>
        <n v="99.3"/>
        <n v="93.6"/>
        <n v="98.1"/>
        <n v="87.9"/>
        <n v="95.9"/>
        <n v="83.6"/>
        <n v="95.4"/>
        <n v="98.9"/>
        <n v="91.8"/>
        <n v="92.4"/>
        <n v="95.3"/>
        <n v="83.8"/>
        <n v="89.1"/>
        <n v="93.1"/>
        <n v="95.6"/>
        <n v="94.7"/>
        <n v="79.2"/>
        <n v="98.3"/>
        <n v="86.7"/>
        <n v="84.6"/>
        <n v="88.6"/>
        <n v="91.1"/>
        <n v="88.7"/>
        <n v="96.3"/>
        <n v="97.7"/>
        <n v="98"/>
        <n v="91.2"/>
        <n v="93.3"/>
        <n v="98.8"/>
        <n v="96"/>
        <n v="81.099999999999994"/>
        <n v="76.3"/>
        <n v="97.6"/>
        <n v="93.8"/>
        <n v="93.7"/>
        <n v="99"/>
        <n v="94"/>
        <n v="99.4"/>
        <n v="93"/>
        <n v="84.5"/>
        <n v="85.4"/>
        <n v="75"/>
        <n v="95.5"/>
        <n v="79.400000000000006"/>
        <n v="98.4"/>
        <n v="97.4"/>
        <n v="85.5"/>
        <n v="92"/>
        <n v="84.4"/>
        <n v="90.6"/>
        <n v="91.7"/>
        <n v="98.2"/>
        <n v="81.599999999999994"/>
        <n v="89.9"/>
        <n v="92.6"/>
        <n v="86.3"/>
        <n v="90"/>
        <n v="96.8"/>
        <n v="91.5"/>
        <n v="92.2"/>
        <n v="88.9"/>
        <n v="95.2"/>
        <m/>
      </sharedItems>
    </cacheField>
    <cacheField name="Assessment" numFmtId="0">
      <sharedItems containsBlank="1"/>
    </cacheField>
    <cacheField name="Assessment_Date" numFmtId="164">
      <sharedItems containsDate="1" containsBlank="1" containsMixedTypes="1" minDate="2026-01-15T00:00:00" maxDate="2026-04-15T00:00:00"/>
    </cacheField>
    <cacheField name="Assessment_Score" numFmtId="0">
      <sharedItems containsBlank="1" containsMixedTypes="1" containsNumber="1" containsInteger="1" minValue="43" maxValue="100" count="45">
        <n v="92"/>
        <n v="85"/>
        <n v="80"/>
        <n v="86"/>
        <n v="58"/>
        <s v="Not Available"/>
        <n v="70"/>
        <n v="89"/>
        <n v="90"/>
        <n v="87"/>
        <n v="72"/>
        <n v="79"/>
        <n v="76"/>
        <n v="60"/>
        <n v="100"/>
        <n v="43"/>
        <n v="64"/>
        <n v="98"/>
        <n v="77"/>
        <n v="74"/>
        <n v="68"/>
        <n v="65"/>
        <n v="75"/>
        <n v="93"/>
        <n v="54"/>
        <n v="78"/>
        <n v="73"/>
        <n v="94"/>
        <n v="83"/>
        <n v="55"/>
        <n v="61"/>
        <n v="96"/>
        <n v="88"/>
        <n v="69"/>
        <n v="99"/>
        <n v="84"/>
        <n v="91"/>
        <n v="67"/>
        <n v="66"/>
        <n v="51"/>
        <n v="82"/>
        <n v="97"/>
        <n v="63"/>
        <n v="48"/>
        <m/>
      </sharedItems>
    </cacheField>
    <cacheField name="Benchmark" numFmtId="0">
      <sharedItems containsBlank="1"/>
    </cacheField>
    <cacheField name="Discipline_Incidents" numFmtId="0">
      <sharedItems containsBlank="1" containsMixedTypes="1" containsNumber="1" containsInteger="1" minValue="0" maxValue="6"/>
    </cacheField>
    <cacheField name="Major_Incidents" numFmtId="0">
      <sharedItems containsBlank="1" containsMixedTypes="1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S1000"/>
    <s v="Olivia Wilson"/>
    <x v="0"/>
    <x v="0"/>
    <s v="Active"/>
    <x v="0"/>
    <s v="Science"/>
    <d v="2026-02-23T00:00:00"/>
    <n v="92"/>
    <s v="Met"/>
    <x v="0"/>
    <x v="0"/>
  </r>
  <r>
    <s v="S1001"/>
    <s v="Daniel Brown"/>
    <x v="1"/>
    <x v="1"/>
    <s v="Withdrawn"/>
    <x v="1"/>
    <s v="ELA"/>
    <d v="2026-01-29T00:00:00"/>
    <n v="85"/>
    <s v="Met"/>
    <x v="1"/>
    <x v="0"/>
  </r>
  <r>
    <s v="S1002"/>
    <s v="Charlotte Johnson"/>
    <x v="2"/>
    <x v="1"/>
    <s v="Active"/>
    <x v="2"/>
    <s v="Science"/>
    <d v="2026-02-04T00:00:00"/>
    <n v="80"/>
    <s v="Met"/>
    <x v="2"/>
    <x v="0"/>
  </r>
  <r>
    <s v="S1003"/>
    <s v="Isabella Johnson"/>
    <x v="0"/>
    <x v="2"/>
    <s v="Active"/>
    <x v="3"/>
    <s v="Math"/>
    <d v="2026-03-02T00:00:00"/>
    <n v="86"/>
    <s v="Met"/>
    <x v="1"/>
    <x v="0"/>
  </r>
  <r>
    <s v="S1006"/>
    <s v="Ella Wilson"/>
    <x v="3"/>
    <x v="1"/>
    <s v="Withdrawn"/>
    <x v="4"/>
    <s v="Science"/>
    <d v="2026-01-23T00:00:00"/>
    <n v="58"/>
    <s v="Below"/>
    <x v="1"/>
    <x v="0"/>
  </r>
  <r>
    <s v="S1007"/>
    <s v="Isabella Anderson"/>
    <x v="2"/>
    <x v="0"/>
    <s v="Active"/>
    <x v="2"/>
    <s v="Not Available"/>
    <s v="Not Available"/>
    <s v="Not Available"/>
    <s v="Not Available"/>
    <x v="0"/>
    <x v="0"/>
  </r>
  <r>
    <s v="S1008"/>
    <s v="Isabella Johnson"/>
    <x v="2"/>
    <x v="1"/>
    <s v="Active"/>
    <x v="5"/>
    <s v="Science"/>
    <d v="2026-03-07T00:00:00"/>
    <n v="70"/>
    <s v="Met"/>
    <x v="1"/>
    <x v="0"/>
  </r>
  <r>
    <s v="S1009"/>
    <s v="Noah Wilson"/>
    <x v="3"/>
    <x v="2"/>
    <s v="Active"/>
    <x v="6"/>
    <s v="Math"/>
    <d v="2026-03-12T00:00:00"/>
    <n v="89"/>
    <s v="Met"/>
    <x v="0"/>
    <x v="0"/>
  </r>
  <r>
    <s v="S1010"/>
    <s v="Lucas Anderson"/>
    <x v="3"/>
    <x v="2"/>
    <s v="Withdrawn"/>
    <x v="7"/>
    <s v="Math"/>
    <d v="2026-02-09T00:00:00"/>
    <n v="90"/>
    <s v="Met"/>
    <x v="0"/>
    <x v="0"/>
  </r>
  <r>
    <s v="S1012"/>
    <s v="Liam Patel"/>
    <x v="2"/>
    <x v="2"/>
    <s v="Active"/>
    <x v="8"/>
    <s v="Math"/>
    <d v="2026-02-18T00:00:00"/>
    <n v="87"/>
    <s v="Met"/>
    <x v="3"/>
    <x v="1"/>
  </r>
  <r>
    <s v="S1013"/>
    <s v="James Thomas"/>
    <x v="0"/>
    <x v="2"/>
    <s v="Active"/>
    <x v="9"/>
    <s v="Science"/>
    <d v="2026-03-18T00:00:00"/>
    <n v="72"/>
    <s v="Met"/>
    <x v="4"/>
    <x v="2"/>
  </r>
  <r>
    <s v="S1014"/>
    <s v="Ethan Smith"/>
    <x v="0"/>
    <x v="1"/>
    <s v="Active"/>
    <x v="10"/>
    <s v="Science"/>
    <d v="2026-02-08T00:00:00"/>
    <n v="72"/>
    <s v="Met"/>
    <x v="0"/>
    <x v="0"/>
  </r>
  <r>
    <s v="S1015"/>
    <s v="Liam Taylor"/>
    <x v="3"/>
    <x v="2"/>
    <s v="Active"/>
    <x v="11"/>
    <s v="ELA"/>
    <d v="2026-04-14T00:00:00"/>
    <n v="79"/>
    <s v="Met"/>
    <x v="1"/>
    <x v="0"/>
  </r>
  <r>
    <s v="S1016"/>
    <s v="Ava Miller"/>
    <x v="0"/>
    <x v="1"/>
    <s v="Active"/>
    <x v="12"/>
    <s v="ELA"/>
    <d v="2026-03-30T00:00:00"/>
    <n v="79"/>
    <s v="Met"/>
    <x v="0"/>
    <x v="0"/>
  </r>
  <r>
    <s v="S1017"/>
    <s v="James Lee"/>
    <x v="1"/>
    <x v="2"/>
    <s v="Active"/>
    <x v="13"/>
    <s v="Math"/>
    <d v="2026-02-21T00:00:00"/>
    <n v="76"/>
    <s v="Met"/>
    <x v="2"/>
    <x v="0"/>
  </r>
  <r>
    <s v="S1018"/>
    <s v="James Patel"/>
    <x v="0"/>
    <x v="1"/>
    <s v="Active"/>
    <x v="14"/>
    <s v="Science"/>
    <d v="2026-01-16T00:00:00"/>
    <n v="60"/>
    <s v="Below"/>
    <x v="5"/>
    <x v="2"/>
  </r>
  <r>
    <s v="S1019"/>
    <s v="Harper Thomas"/>
    <x v="0"/>
    <x v="2"/>
    <s v="Active"/>
    <x v="15"/>
    <s v="Not Available"/>
    <s v="Not Available"/>
    <s v="Not Available"/>
    <s v="Not Available"/>
    <x v="2"/>
    <x v="0"/>
  </r>
  <r>
    <s v="S1020"/>
    <s v="Mason Thomas"/>
    <x v="1"/>
    <x v="2"/>
    <s v="Active"/>
    <x v="16"/>
    <s v="Science"/>
    <d v="2026-04-06T00:00:00"/>
    <n v="100"/>
    <s v="Met"/>
    <x v="2"/>
    <x v="2"/>
  </r>
  <r>
    <s v="S1021"/>
    <s v="Leo Thomas"/>
    <x v="3"/>
    <x v="2"/>
    <s v="Active"/>
    <x v="17"/>
    <s v="ELA"/>
    <d v="2026-02-17T00:00:00"/>
    <n v="43"/>
    <s v="Below"/>
    <x v="0"/>
    <x v="0"/>
  </r>
  <r>
    <s v="S1022"/>
    <s v="Charlotte Thomas"/>
    <x v="1"/>
    <x v="1"/>
    <s v="Active"/>
    <x v="18"/>
    <s v="ELA"/>
    <d v="2026-01-31T00:00:00"/>
    <n v="86"/>
    <s v="Met"/>
    <x v="1"/>
    <x v="0"/>
  </r>
  <r>
    <s v="S1023"/>
    <s v="Charlotte Johnson"/>
    <x v="0"/>
    <x v="2"/>
    <s v="Active"/>
    <x v="19"/>
    <s v="Science"/>
    <d v="2026-02-26T00:00:00"/>
    <n v="89"/>
    <s v="Met"/>
    <x v="0"/>
    <x v="0"/>
  </r>
  <r>
    <s v="S1024"/>
    <s v="Ella Anderson"/>
    <x v="3"/>
    <x v="3"/>
    <s v="Active"/>
    <x v="20"/>
    <s v="Science"/>
    <d v="2026-03-14T00:00:00"/>
    <n v="60"/>
    <s v="Below"/>
    <x v="5"/>
    <x v="3"/>
  </r>
  <r>
    <s v="S1025"/>
    <s v="James Taylor"/>
    <x v="0"/>
    <x v="0"/>
    <s v="Active"/>
    <x v="10"/>
    <s v="Science"/>
    <d v="2026-03-06T00:00:00"/>
    <n v="70"/>
    <s v="Met"/>
    <x v="2"/>
    <x v="0"/>
  </r>
  <r>
    <s v="S1026"/>
    <s v="Daniel Wilson"/>
    <x v="1"/>
    <x v="2"/>
    <s v="Active"/>
    <x v="21"/>
    <s v="ELA"/>
    <d v="2026-03-09T00:00:00"/>
    <n v="64"/>
    <s v="Below"/>
    <x v="1"/>
    <x v="0"/>
  </r>
  <r>
    <s v="S1027"/>
    <s v="Mia Thomas"/>
    <x v="1"/>
    <x v="3"/>
    <s v="Active"/>
    <x v="22"/>
    <s v="Science"/>
    <d v="2026-02-07T00:00:00"/>
    <n v="98"/>
    <s v="Met"/>
    <x v="0"/>
    <x v="0"/>
  </r>
  <r>
    <s v="S1028"/>
    <s v="Emma Miller"/>
    <x v="0"/>
    <x v="2"/>
    <s v="Active"/>
    <x v="23"/>
    <s v="Science"/>
    <d v="2026-02-08T00:00:00"/>
    <n v="89"/>
    <s v="Met"/>
    <x v="4"/>
    <x v="0"/>
  </r>
  <r>
    <s v="S1029"/>
    <s v="Ella Wilson"/>
    <x v="2"/>
    <x v="2"/>
    <s v="Active"/>
    <x v="24"/>
    <s v="Math"/>
    <d v="2026-03-26T00:00:00"/>
    <n v="90"/>
    <s v="Met"/>
    <x v="0"/>
    <x v="0"/>
  </r>
  <r>
    <s v="S1030"/>
    <s v="Olivia Brown"/>
    <x v="2"/>
    <x v="1"/>
    <s v="Active"/>
    <x v="5"/>
    <s v="Math"/>
    <d v="2026-03-07T00:00:00"/>
    <n v="77"/>
    <s v="Met"/>
    <x v="4"/>
    <x v="2"/>
  </r>
  <r>
    <s v="S1031"/>
    <s v="Sophia Brown"/>
    <x v="1"/>
    <x v="1"/>
    <s v="Active"/>
    <x v="14"/>
    <s v="ELA"/>
    <d v="2026-03-25T00:00:00"/>
    <n v="92"/>
    <s v="Met"/>
    <x v="1"/>
    <x v="0"/>
  </r>
  <r>
    <s v="S1032"/>
    <s v="Olivia Miller"/>
    <x v="1"/>
    <x v="1"/>
    <s v="Active"/>
    <x v="25"/>
    <s v="Science"/>
    <d v="2026-04-12T00:00:00"/>
    <n v="76"/>
    <s v="Met"/>
    <x v="0"/>
    <x v="0"/>
  </r>
  <r>
    <s v="S1033"/>
    <s v="Jack Anderson"/>
    <x v="2"/>
    <x v="2"/>
    <s v="Active"/>
    <x v="26"/>
    <s v="Science"/>
    <d v="2026-02-16T00:00:00"/>
    <n v="92"/>
    <s v="Met"/>
    <x v="0"/>
    <x v="0"/>
  </r>
  <r>
    <s v="S1034"/>
    <s v="Noah Miller"/>
    <x v="2"/>
    <x v="2"/>
    <s v="Active"/>
    <x v="25"/>
    <s v="Math"/>
    <d v="2026-03-04T00:00:00"/>
    <n v="74"/>
    <s v="Met"/>
    <x v="2"/>
    <x v="0"/>
  </r>
  <r>
    <s v="S1035"/>
    <s v="Henry Johnson"/>
    <x v="0"/>
    <x v="1"/>
    <s v="Active"/>
    <x v="27"/>
    <s v="ELA"/>
    <d v="2026-02-12T00:00:00"/>
    <n v="68"/>
    <s v="Below"/>
    <x v="1"/>
    <x v="0"/>
  </r>
  <r>
    <s v="S1036"/>
    <s v="Jack Miller"/>
    <x v="0"/>
    <x v="0"/>
    <s v="Active"/>
    <x v="28"/>
    <s v="Math"/>
    <d v="2026-03-18T00:00:00"/>
    <n v="98"/>
    <s v="Met"/>
    <x v="1"/>
    <x v="0"/>
  </r>
  <r>
    <s v="S1037"/>
    <s v="Sophia Garcia"/>
    <x v="2"/>
    <x v="1"/>
    <s v="Active"/>
    <x v="29"/>
    <s v="Math"/>
    <d v="2026-02-05T00:00:00"/>
    <n v="76"/>
    <s v="Met"/>
    <x v="1"/>
    <x v="0"/>
  </r>
  <r>
    <s v="S1038"/>
    <s v="Liam Wilson"/>
    <x v="0"/>
    <x v="2"/>
    <s v="Active"/>
    <x v="30"/>
    <s v="Math"/>
    <d v="2026-02-09T00:00:00"/>
    <n v="65"/>
    <s v="Below"/>
    <x v="0"/>
    <x v="2"/>
  </r>
  <r>
    <s v="S1039"/>
    <s v="Daniel Patel"/>
    <x v="0"/>
    <x v="1"/>
    <s v="Active"/>
    <x v="31"/>
    <s v="Math"/>
    <d v="2026-02-11T00:00:00"/>
    <n v="65"/>
    <s v="Below"/>
    <x v="2"/>
    <x v="0"/>
  </r>
  <r>
    <s v="S1040"/>
    <s v="Charlotte Davis"/>
    <x v="3"/>
    <x v="1"/>
    <s v="Active"/>
    <x v="32"/>
    <s v="Science"/>
    <d v="2026-04-09T00:00:00"/>
    <n v="65"/>
    <s v="Below"/>
    <x v="2"/>
    <x v="0"/>
  </r>
  <r>
    <s v="S1041"/>
    <s v="Olivia Anderson"/>
    <x v="0"/>
    <x v="2"/>
    <s v="Active"/>
    <x v="33"/>
    <s v="Science"/>
    <d v="2026-03-04T00:00:00"/>
    <n v="86"/>
    <s v="Met"/>
    <x v="4"/>
    <x v="0"/>
  </r>
  <r>
    <s v="S1042"/>
    <s v="James Miller"/>
    <x v="1"/>
    <x v="2"/>
    <s v="Active"/>
    <x v="34"/>
    <s v="Math"/>
    <d v="2026-03-26T00:00:00"/>
    <n v="75"/>
    <s v="Met"/>
    <x v="4"/>
    <x v="0"/>
  </r>
  <r>
    <s v="S1043"/>
    <s v="Lucas Lee"/>
    <x v="0"/>
    <x v="2"/>
    <s v="Active"/>
    <x v="35"/>
    <s v="ELA"/>
    <d v="2026-04-05T00:00:00"/>
    <n v="100"/>
    <s v="Met"/>
    <x v="2"/>
    <x v="2"/>
  </r>
  <r>
    <s v="S1044"/>
    <s v="Charlotte Brown"/>
    <x v="0"/>
    <x v="2"/>
    <s v="Active"/>
    <x v="36"/>
    <s v="Not Available"/>
    <s v="Not Available"/>
    <s v="Not Available"/>
    <s v="Not Available"/>
    <x v="1"/>
    <x v="0"/>
  </r>
  <r>
    <s v="S1045"/>
    <s v="Mia Garcia"/>
    <x v="2"/>
    <x v="2"/>
    <s v="Active"/>
    <x v="37"/>
    <s v="ELA"/>
    <d v="2026-03-04T00:00:00"/>
    <n v="79"/>
    <s v="Met"/>
    <x v="1"/>
    <x v="0"/>
  </r>
  <r>
    <s v="S1046"/>
    <s v="Henry Taylor"/>
    <x v="1"/>
    <x v="2"/>
    <s v="Active"/>
    <x v="38"/>
    <s v="ELA"/>
    <d v="2026-02-03T00:00:00"/>
    <n v="93"/>
    <s v="Met"/>
    <x v="0"/>
    <x v="0"/>
  </r>
  <r>
    <s v="S1047"/>
    <s v="Harper Thomas"/>
    <x v="0"/>
    <x v="2"/>
    <s v="Active"/>
    <x v="39"/>
    <s v="Math"/>
    <d v="2026-04-10T00:00:00"/>
    <n v="70"/>
    <s v="Met"/>
    <x v="0"/>
    <x v="0"/>
  </r>
  <r>
    <s v="S1048"/>
    <s v="Noah Davis"/>
    <x v="0"/>
    <x v="2"/>
    <s v="Active"/>
    <x v="3"/>
    <s v="Science"/>
    <d v="2026-03-18T00:00:00"/>
    <n v="54"/>
    <s v="Below"/>
    <x v="0"/>
    <x v="0"/>
  </r>
  <r>
    <s v="S1049"/>
    <s v="Jack Anderson"/>
    <x v="3"/>
    <x v="3"/>
    <s v="Withdrawn"/>
    <x v="40"/>
    <s v="ELA"/>
    <d v="2026-03-16T00:00:00"/>
    <n v="64"/>
    <s v="Below"/>
    <x v="5"/>
    <x v="0"/>
  </r>
  <r>
    <s v="S1050"/>
    <s v="Lucas Patel"/>
    <x v="0"/>
    <x v="0"/>
    <s v="Active"/>
    <x v="41"/>
    <s v="Math"/>
    <d v="2026-03-04T00:00:00"/>
    <n v="78"/>
    <s v="Met"/>
    <x v="0"/>
    <x v="0"/>
  </r>
  <r>
    <s v="S1051"/>
    <s v="Noah Davis"/>
    <x v="0"/>
    <x v="2"/>
    <s v="Active"/>
    <x v="28"/>
    <s v="ELA"/>
    <d v="2026-03-26T00:00:00"/>
    <n v="73"/>
    <s v="Met"/>
    <x v="0"/>
    <x v="0"/>
  </r>
  <r>
    <s v="S1052"/>
    <s v="Liam Miller"/>
    <x v="3"/>
    <x v="3"/>
    <s v="Active"/>
    <x v="23"/>
    <s v="ELA"/>
    <d v="2026-01-15T00:00:00"/>
    <n v="86"/>
    <s v="Met"/>
    <x v="2"/>
    <x v="0"/>
  </r>
  <r>
    <s v="S1053"/>
    <s v="Ethan Johnson"/>
    <x v="2"/>
    <x v="1"/>
    <s v="Active"/>
    <x v="3"/>
    <s v="Math"/>
    <d v="2026-01-27T00:00:00"/>
    <n v="75"/>
    <s v="Met"/>
    <x v="1"/>
    <x v="0"/>
  </r>
  <r>
    <s v="S1054"/>
    <s v="Mason Brown"/>
    <x v="0"/>
    <x v="2"/>
    <s v="Active"/>
    <x v="42"/>
    <s v="Science"/>
    <d v="2026-04-11T00:00:00"/>
    <n v="85"/>
    <s v="Met"/>
    <x v="1"/>
    <x v="0"/>
  </r>
  <r>
    <s v="S1055"/>
    <s v="Noah Brown"/>
    <x v="3"/>
    <x v="2"/>
    <s v="Active"/>
    <x v="43"/>
    <s v="Science"/>
    <d v="2026-03-06T00:00:00"/>
    <n v="94"/>
    <s v="Met"/>
    <x v="0"/>
    <x v="0"/>
  </r>
  <r>
    <s v="S1056"/>
    <s v="Jack Taylor"/>
    <x v="1"/>
    <x v="2"/>
    <s v="Active"/>
    <x v="44"/>
    <s v="Math"/>
    <d v="2026-03-11T00:00:00"/>
    <n v="74"/>
    <s v="Met"/>
    <x v="1"/>
    <x v="0"/>
  </r>
  <r>
    <s v="S1057"/>
    <s v="James Johnson"/>
    <x v="2"/>
    <x v="2"/>
    <s v="Active"/>
    <x v="33"/>
    <s v="Science"/>
    <d v="2026-04-07T00:00:00"/>
    <n v="83"/>
    <s v="Met"/>
    <x v="0"/>
    <x v="0"/>
  </r>
  <r>
    <s v="S1058"/>
    <s v="Liam Thomas"/>
    <x v="1"/>
    <x v="1"/>
    <s v="Active"/>
    <x v="45"/>
    <s v="Math"/>
    <d v="2026-03-17T00:00:00"/>
    <n v="55"/>
    <s v="Below"/>
    <x v="0"/>
    <x v="0"/>
  </r>
  <r>
    <s v="S1059"/>
    <s v="Mason Wilson"/>
    <x v="1"/>
    <x v="1"/>
    <s v="Withdrawn"/>
    <x v="46"/>
    <s v="Math"/>
    <d v="2026-02-15T00:00:00"/>
    <n v="75"/>
    <s v="Met"/>
    <x v="1"/>
    <x v="0"/>
  </r>
  <r>
    <s v="S1060"/>
    <s v="Noah Smith"/>
    <x v="3"/>
    <x v="2"/>
    <s v="Active"/>
    <x v="47"/>
    <s v="Math"/>
    <d v="2026-02-13T00:00:00"/>
    <n v="61"/>
    <s v="Below"/>
    <x v="1"/>
    <x v="0"/>
  </r>
  <r>
    <s v="S1061"/>
    <s v="Henry Garcia"/>
    <x v="0"/>
    <x v="3"/>
    <s v="Active"/>
    <x v="48"/>
    <s v="Science"/>
    <d v="2026-02-12T00:00:00"/>
    <n v="78"/>
    <s v="Met"/>
    <x v="2"/>
    <x v="0"/>
  </r>
  <r>
    <s v="S1062"/>
    <s v="Leo Brown"/>
    <x v="3"/>
    <x v="0"/>
    <s v="Active"/>
    <x v="3"/>
    <s v="Math"/>
    <d v="2026-03-04T00:00:00"/>
    <n v="79"/>
    <s v="Met"/>
    <x v="1"/>
    <x v="0"/>
  </r>
  <r>
    <s v="S1063"/>
    <s v="Charlotte Lee"/>
    <x v="3"/>
    <x v="2"/>
    <s v="Active"/>
    <x v="49"/>
    <s v="ELA"/>
    <d v="2026-02-28T00:00:00"/>
    <n v="79"/>
    <s v="Met"/>
    <x v="2"/>
    <x v="2"/>
  </r>
  <r>
    <s v="S1064"/>
    <s v="Lucas Brown"/>
    <x v="3"/>
    <x v="3"/>
    <s v="Active"/>
    <x v="50"/>
    <s v="Science"/>
    <d v="2026-02-13T00:00:00"/>
    <n v="70"/>
    <s v="Met"/>
    <x v="2"/>
    <x v="0"/>
  </r>
  <r>
    <s v="S1065"/>
    <s v="Henry Davis"/>
    <x v="3"/>
    <x v="3"/>
    <s v="Active"/>
    <x v="51"/>
    <s v="Science"/>
    <d v="2026-01-30T00:00:00"/>
    <n v="100"/>
    <s v="Met"/>
    <x v="2"/>
    <x v="0"/>
  </r>
  <r>
    <s v="S1066"/>
    <s v="Lucas Brown"/>
    <x v="2"/>
    <x v="3"/>
    <s v="Active"/>
    <x v="21"/>
    <s v="Science"/>
    <d v="2026-02-23T00:00:00"/>
    <n v="61"/>
    <s v="Below"/>
    <x v="1"/>
    <x v="0"/>
  </r>
  <r>
    <s v="S1067"/>
    <s v="Leo Anderson"/>
    <x v="0"/>
    <x v="2"/>
    <s v="Withdrawn"/>
    <x v="52"/>
    <s v="Science"/>
    <d v="2026-02-02T00:00:00"/>
    <n v="60"/>
    <s v="Below"/>
    <x v="1"/>
    <x v="0"/>
  </r>
  <r>
    <s v="S1068"/>
    <s v="Amelia Brown"/>
    <x v="1"/>
    <x v="1"/>
    <s v="Active"/>
    <x v="31"/>
    <s v="ELA"/>
    <d v="2026-02-01T00:00:00"/>
    <n v="96"/>
    <s v="Met"/>
    <x v="4"/>
    <x v="0"/>
  </r>
  <r>
    <s v="S1069"/>
    <s v="Jack Smith"/>
    <x v="1"/>
    <x v="2"/>
    <s v="Active"/>
    <x v="53"/>
    <s v="Science"/>
    <d v="2026-01-15T00:00:00"/>
    <n v="68"/>
    <s v="Below"/>
    <x v="2"/>
    <x v="0"/>
  </r>
  <r>
    <s v="S1070"/>
    <s v="Charlotte Smith"/>
    <x v="0"/>
    <x v="1"/>
    <s v="Active"/>
    <x v="54"/>
    <s v="Science"/>
    <d v="2026-04-02T00:00:00"/>
    <n v="65"/>
    <s v="Below"/>
    <x v="1"/>
    <x v="0"/>
  </r>
  <r>
    <s v="S1071"/>
    <s v="Amelia Thomas"/>
    <x v="1"/>
    <x v="3"/>
    <s v="Active"/>
    <x v="55"/>
    <s v="Math"/>
    <d v="2026-03-02T00:00:00"/>
    <n v="100"/>
    <s v="Met"/>
    <x v="2"/>
    <x v="0"/>
  </r>
  <r>
    <s v="S1072"/>
    <s v="Sophia Patel"/>
    <x v="0"/>
    <x v="1"/>
    <s v="Active"/>
    <x v="47"/>
    <s v="Science"/>
    <d v="2026-03-21T00:00:00"/>
    <n v="88"/>
    <s v="Met"/>
    <x v="1"/>
    <x v="0"/>
  </r>
  <r>
    <s v="S1073"/>
    <s v="Charlotte Wilson"/>
    <x v="1"/>
    <x v="0"/>
    <s v="Active"/>
    <x v="56"/>
    <s v="ELA"/>
    <d v="2026-02-21T00:00:00"/>
    <n v="69"/>
    <s v="Below"/>
    <x v="1"/>
    <x v="0"/>
  </r>
  <r>
    <s v="S1074"/>
    <s v="Amelia Lee"/>
    <x v="3"/>
    <x v="0"/>
    <s v="Active"/>
    <x v="57"/>
    <s v="ELA"/>
    <d v="2026-03-06T00:00:00"/>
    <n v="79"/>
    <s v="Met"/>
    <x v="1"/>
    <x v="0"/>
  </r>
  <r>
    <s v="S1075"/>
    <s v="Ava Brown"/>
    <x v="1"/>
    <x v="0"/>
    <s v="Active"/>
    <x v="40"/>
    <s v="ELA"/>
    <d v="2026-03-18T00:00:00"/>
    <n v="99"/>
    <s v="Met"/>
    <x v="2"/>
    <x v="0"/>
  </r>
  <r>
    <s v="S1076"/>
    <s v="Olivia Brown"/>
    <x v="0"/>
    <x v="2"/>
    <s v="Active"/>
    <x v="3"/>
    <s v="ELA"/>
    <d v="2026-01-18T00:00:00"/>
    <n v="84"/>
    <s v="Met"/>
    <x v="4"/>
    <x v="0"/>
  </r>
  <r>
    <s v="S1077"/>
    <s v="Sophia Garcia"/>
    <x v="0"/>
    <x v="2"/>
    <s v="Active"/>
    <x v="34"/>
    <s v="Science"/>
    <d v="2026-01-15T00:00:00"/>
    <n v="91"/>
    <s v="Met"/>
    <x v="2"/>
    <x v="0"/>
  </r>
  <r>
    <s v="S1078"/>
    <s v="Ava Smith"/>
    <x v="0"/>
    <x v="2"/>
    <s v="Active"/>
    <x v="58"/>
    <s v="Science"/>
    <d v="2026-01-22T00:00:00"/>
    <n v="86"/>
    <s v="Met"/>
    <x v="1"/>
    <x v="0"/>
  </r>
  <r>
    <s v="S1079"/>
    <s v="James Lee"/>
    <x v="0"/>
    <x v="0"/>
    <s v="Active"/>
    <x v="59"/>
    <s v="ELA"/>
    <d v="2026-02-12T00:00:00"/>
    <n v="87"/>
    <s v="Met"/>
    <x v="2"/>
    <x v="0"/>
  </r>
  <r>
    <s v="S1080"/>
    <s v="Lucas Thomas"/>
    <x v="0"/>
    <x v="2"/>
    <s v="Active"/>
    <x v="19"/>
    <s v="ELA"/>
    <d v="2026-03-10T00:00:00"/>
    <n v="76"/>
    <s v="Met"/>
    <x v="6"/>
    <x v="2"/>
  </r>
  <r>
    <s v="S1081"/>
    <s v="Isabella Taylor"/>
    <x v="2"/>
    <x v="2"/>
    <s v="Active"/>
    <x v="33"/>
    <s v="Science"/>
    <d v="2026-01-17T00:00:00"/>
    <n v="76"/>
    <s v="Met"/>
    <x v="0"/>
    <x v="0"/>
  </r>
  <r>
    <s v="S1082"/>
    <s v="Ella Patel"/>
    <x v="2"/>
    <x v="2"/>
    <s v="Active"/>
    <x v="60"/>
    <s v="ELA"/>
    <d v="2026-02-15T00:00:00"/>
    <n v="79"/>
    <s v="Met"/>
    <x v="2"/>
    <x v="0"/>
  </r>
  <r>
    <s v="S1083"/>
    <s v="Harper Wilson"/>
    <x v="1"/>
    <x v="1"/>
    <s v="Active"/>
    <x v="61"/>
    <s v="Math"/>
    <d v="2026-01-24T00:00:00"/>
    <n v="85"/>
    <s v="Met"/>
    <x v="4"/>
    <x v="0"/>
  </r>
  <r>
    <s v="S1084"/>
    <s v="Lucas Johnson"/>
    <x v="0"/>
    <x v="0"/>
    <s v="Active"/>
    <x v="62"/>
    <s v="ELA"/>
    <d v="2026-03-29T00:00:00"/>
    <n v="73"/>
    <s v="Met"/>
    <x v="0"/>
    <x v="0"/>
  </r>
  <r>
    <s v="S1085"/>
    <s v="Mia Wilson"/>
    <x v="1"/>
    <x v="0"/>
    <s v="Active"/>
    <x v="63"/>
    <s v="ELA"/>
    <d v="2026-04-07T00:00:00"/>
    <n v="77"/>
    <s v="Met"/>
    <x v="1"/>
    <x v="0"/>
  </r>
  <r>
    <s v="S1086"/>
    <s v="Mia Anderson"/>
    <x v="0"/>
    <x v="2"/>
    <s v="Active"/>
    <x v="64"/>
    <s v="Math"/>
    <d v="2026-02-17T00:00:00"/>
    <n v="72"/>
    <s v="Met"/>
    <x v="1"/>
    <x v="0"/>
  </r>
  <r>
    <s v="S1087"/>
    <s v="Ava Davis"/>
    <x v="0"/>
    <x v="0"/>
    <s v="Active"/>
    <x v="39"/>
    <s v="Math"/>
    <d v="2026-04-11T00:00:00"/>
    <n v="77"/>
    <s v="Met"/>
    <x v="1"/>
    <x v="0"/>
  </r>
  <r>
    <s v="S1088"/>
    <s v="Emma Anderson"/>
    <x v="2"/>
    <x v="1"/>
    <s v="Active"/>
    <x v="65"/>
    <s v="Science"/>
    <d v="2026-03-10T00:00:00"/>
    <n v="61"/>
    <s v="Below"/>
    <x v="0"/>
    <x v="2"/>
  </r>
  <r>
    <s v="S1089"/>
    <s v="Mason Brown"/>
    <x v="2"/>
    <x v="2"/>
    <s v="Active"/>
    <x v="53"/>
    <s v="Science"/>
    <d v="2026-02-15T00:00:00"/>
    <n v="100"/>
    <s v="Met"/>
    <x v="1"/>
    <x v="0"/>
  </r>
  <r>
    <s v="S1090"/>
    <s v="Olivia Patel"/>
    <x v="3"/>
    <x v="1"/>
    <s v="Active"/>
    <x v="66"/>
    <s v="Math"/>
    <d v="2026-03-05T00:00:00"/>
    <n v="67"/>
    <s v="Below"/>
    <x v="0"/>
    <x v="0"/>
  </r>
  <r>
    <s v="S1091"/>
    <s v="Sophia Davis"/>
    <x v="2"/>
    <x v="2"/>
    <s v="Active"/>
    <x v="67"/>
    <s v="Math"/>
    <d v="2026-01-21T00:00:00"/>
    <n v="72"/>
    <s v="Met"/>
    <x v="2"/>
    <x v="0"/>
  </r>
  <r>
    <s v="S1092"/>
    <s v="Olivia Lee"/>
    <x v="3"/>
    <x v="2"/>
    <s v="Active"/>
    <x v="68"/>
    <s v="Science"/>
    <d v="2026-01-22T00:00:00"/>
    <n v="66"/>
    <s v="Below"/>
    <x v="0"/>
    <x v="2"/>
  </r>
  <r>
    <s v="S1093"/>
    <s v="Sophia Johnson"/>
    <x v="3"/>
    <x v="1"/>
    <s v="Active"/>
    <x v="7"/>
    <s v="ELA"/>
    <d v="2026-03-20T00:00:00"/>
    <n v="83"/>
    <s v="Met"/>
    <x v="2"/>
    <x v="0"/>
  </r>
  <r>
    <s v="S1094"/>
    <s v="Lucas Smith"/>
    <x v="3"/>
    <x v="2"/>
    <s v="Active"/>
    <x v="69"/>
    <s v="Math"/>
    <d v="2026-03-12T00:00:00"/>
    <n v="74"/>
    <s v="Met"/>
    <x v="0"/>
    <x v="0"/>
  </r>
  <r>
    <s v="S1095"/>
    <s v="James Patel"/>
    <x v="3"/>
    <x v="2"/>
    <s v="Active"/>
    <x v="26"/>
    <s v="Science"/>
    <d v="2026-03-22T00:00:00"/>
    <n v="64"/>
    <s v="Below"/>
    <x v="1"/>
    <x v="0"/>
  </r>
  <r>
    <s v="S1096"/>
    <s v="Liam Patel"/>
    <x v="3"/>
    <x v="2"/>
    <s v="Active"/>
    <x v="57"/>
    <s v="ELA"/>
    <d v="2026-04-12T00:00:00"/>
    <n v="84"/>
    <s v="Met"/>
    <x v="0"/>
    <x v="0"/>
  </r>
  <r>
    <s v="S1097"/>
    <s v="Ava Anderson"/>
    <x v="1"/>
    <x v="2"/>
    <s v="Active"/>
    <x v="70"/>
    <s v="Math"/>
    <d v="2026-04-11T00:00:00"/>
    <n v="85"/>
    <s v="Met"/>
    <x v="0"/>
    <x v="0"/>
  </r>
  <r>
    <s v="S1098"/>
    <s v="Leo Brown"/>
    <x v="2"/>
    <x v="2"/>
    <s v="Withdrawn"/>
    <x v="71"/>
    <s v="ELA"/>
    <d v="2026-03-14T00:00:00"/>
    <n v="75"/>
    <s v="Met"/>
    <x v="0"/>
    <x v="0"/>
  </r>
  <r>
    <s v="S1099"/>
    <s v="Emma Miller"/>
    <x v="3"/>
    <x v="1"/>
    <s v="Active"/>
    <x v="22"/>
    <s v="Science"/>
    <d v="2026-03-27T00:00:00"/>
    <n v="68"/>
    <s v="Below"/>
    <x v="2"/>
    <x v="0"/>
  </r>
  <r>
    <s v="S1100"/>
    <s v="Mia Thomas"/>
    <x v="0"/>
    <x v="1"/>
    <s v="Active"/>
    <x v="3"/>
    <s v="Math"/>
    <d v="2026-03-09T00:00:00"/>
    <n v="100"/>
    <s v="Met"/>
    <x v="7"/>
    <x v="0"/>
  </r>
  <r>
    <s v="S1101"/>
    <s v="James Anderson"/>
    <x v="2"/>
    <x v="0"/>
    <s v="Active"/>
    <x v="49"/>
    <s v="ELA"/>
    <d v="2026-03-22T00:00:00"/>
    <n v="80"/>
    <s v="Met"/>
    <x v="0"/>
    <x v="0"/>
  </r>
  <r>
    <s v="S1102"/>
    <s v="Lucas Patel"/>
    <x v="2"/>
    <x v="0"/>
    <s v="Active"/>
    <x v="72"/>
    <s v="Math"/>
    <d v="2026-03-06T00:00:00"/>
    <n v="61"/>
    <s v="Below"/>
    <x v="1"/>
    <x v="0"/>
  </r>
  <r>
    <s v="S1103"/>
    <s v="Mia Garcia"/>
    <x v="3"/>
    <x v="1"/>
    <s v="Active"/>
    <x v="62"/>
    <s v="ELA"/>
    <d v="2026-01-22T00:00:00"/>
    <n v="93"/>
    <s v="Met"/>
    <x v="0"/>
    <x v="0"/>
  </r>
  <r>
    <s v="S1104"/>
    <s v="Ava Johnson"/>
    <x v="1"/>
    <x v="1"/>
    <s v="Active"/>
    <x v="73"/>
    <s v="Science"/>
    <d v="2026-02-17T00:00:00"/>
    <n v="66"/>
    <s v="Below"/>
    <x v="0"/>
    <x v="0"/>
  </r>
  <r>
    <s v="S1105"/>
    <s v="Mia Thomas"/>
    <x v="3"/>
    <x v="2"/>
    <s v="Active"/>
    <x v="1"/>
    <s v="Science"/>
    <d v="2026-02-18T00:00:00"/>
    <n v="100"/>
    <s v="Met"/>
    <x v="0"/>
    <x v="0"/>
  </r>
  <r>
    <s v="S1106"/>
    <s v="Emma Anderson"/>
    <x v="1"/>
    <x v="2"/>
    <s v="Active"/>
    <x v="43"/>
    <s v="Math"/>
    <d v="2026-04-12T00:00:00"/>
    <n v="77"/>
    <s v="Met"/>
    <x v="0"/>
    <x v="0"/>
  </r>
  <r>
    <s v="S1107"/>
    <s v="Charlotte Johnson"/>
    <x v="0"/>
    <x v="2"/>
    <s v="Active"/>
    <x v="74"/>
    <s v="ELA"/>
    <d v="2026-04-02T00:00:00"/>
    <n v="88"/>
    <s v="Met"/>
    <x v="2"/>
    <x v="0"/>
  </r>
  <r>
    <s v="S1108"/>
    <s v="Henry Garcia"/>
    <x v="2"/>
    <x v="2"/>
    <s v="Active"/>
    <x v="64"/>
    <s v="Math"/>
    <d v="2026-02-15T00:00:00"/>
    <n v="51"/>
    <s v="Below"/>
    <x v="0"/>
    <x v="2"/>
  </r>
  <r>
    <s v="S1109"/>
    <s v="Mia Taylor"/>
    <x v="0"/>
    <x v="2"/>
    <s v="Active"/>
    <x v="63"/>
    <s v="Math"/>
    <d v="2026-03-01T00:00:00"/>
    <n v="61"/>
    <s v="Below"/>
    <x v="2"/>
    <x v="0"/>
  </r>
  <r>
    <s v="S1110"/>
    <s v="Ava Garcia"/>
    <x v="1"/>
    <x v="2"/>
    <s v="Active"/>
    <x v="17"/>
    <s v="ELA"/>
    <d v="2026-01-30T00:00:00"/>
    <n v="92"/>
    <s v="Met"/>
    <x v="2"/>
    <x v="0"/>
  </r>
  <r>
    <s v="S1111"/>
    <s v="Emma Garcia"/>
    <x v="1"/>
    <x v="0"/>
    <s v="Active"/>
    <x v="44"/>
    <s v="ELA"/>
    <d v="2026-03-23T00:00:00"/>
    <n v="80"/>
    <s v="Met"/>
    <x v="2"/>
    <x v="0"/>
  </r>
  <r>
    <s v="S1112"/>
    <s v="Henry Johnson"/>
    <x v="0"/>
    <x v="3"/>
    <s v="Active"/>
    <x v="75"/>
    <s v="ELA"/>
    <d v="2026-02-20T00:00:00"/>
    <n v="100"/>
    <s v="Met"/>
    <x v="4"/>
    <x v="0"/>
  </r>
  <r>
    <s v="S1113"/>
    <s v="Olivia Wilson"/>
    <x v="1"/>
    <x v="1"/>
    <s v="Active"/>
    <x v="76"/>
    <s v="Science"/>
    <d v="2026-03-09T00:00:00"/>
    <n v="82"/>
    <s v="Met"/>
    <x v="1"/>
    <x v="0"/>
  </r>
  <r>
    <s v="S1114"/>
    <s v="Sophia Johnson"/>
    <x v="0"/>
    <x v="2"/>
    <s v="Active"/>
    <x v="77"/>
    <s v="Math"/>
    <d v="2026-04-09T00:00:00"/>
    <n v="78"/>
    <s v="Met"/>
    <x v="5"/>
    <x v="0"/>
  </r>
  <r>
    <s v="S1115"/>
    <s v="Charlotte Miller"/>
    <x v="2"/>
    <x v="2"/>
    <s v="Active"/>
    <x v="78"/>
    <s v="Math"/>
    <d v="2026-01-28T00:00:00"/>
    <n v="97"/>
    <s v="Met"/>
    <x v="2"/>
    <x v="0"/>
  </r>
  <r>
    <s v="S1116"/>
    <s v="Charlotte Brown"/>
    <x v="0"/>
    <x v="0"/>
    <s v="Active"/>
    <x v="79"/>
    <s v="Science"/>
    <d v="2026-03-10T00:00:00"/>
    <n v="88"/>
    <s v="Met"/>
    <x v="2"/>
    <x v="0"/>
  </r>
  <r>
    <s v="S1117"/>
    <s v="Mason Davis"/>
    <x v="2"/>
    <x v="0"/>
    <s v="Active"/>
    <x v="80"/>
    <s v="ELA"/>
    <d v="2026-03-03T00:00:00"/>
    <n v="74"/>
    <s v="Met"/>
    <x v="1"/>
    <x v="0"/>
  </r>
  <r>
    <s v="S1118"/>
    <s v="Amelia Wilson"/>
    <x v="0"/>
    <x v="2"/>
    <s v="Active"/>
    <x v="30"/>
    <s v="Science"/>
    <d v="2026-04-06T00:00:00"/>
    <n v="63"/>
    <s v="Below"/>
    <x v="1"/>
    <x v="0"/>
  </r>
  <r>
    <s v="S1119"/>
    <s v="Ella Smith"/>
    <x v="1"/>
    <x v="1"/>
    <s v="Active"/>
    <x v="81"/>
    <s v="Science"/>
    <d v="2026-01-21T00:00:00"/>
    <n v="48"/>
    <s v="Below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s v="S1000"/>
    <s v="Olivia Wilson"/>
    <n v="8"/>
    <s v="MTSS Tier 2"/>
    <s v="Active"/>
    <x v="0"/>
    <s v="Science"/>
    <d v="2026-02-23T00:00:00"/>
    <x v="0"/>
    <s v="Met"/>
    <n v="1"/>
    <n v="0"/>
  </r>
  <r>
    <s v="S1001"/>
    <s v="Daniel Brown"/>
    <n v="5"/>
    <s v="MTSS Tier 1"/>
    <s v="Withdrawn"/>
    <x v="1"/>
    <s v="ELA"/>
    <d v="2026-01-29T00:00:00"/>
    <x v="1"/>
    <s v="Met"/>
    <n v="0"/>
    <n v="0"/>
  </r>
  <r>
    <s v="S1002"/>
    <s v="Charlotte Johnson"/>
    <n v="7"/>
    <s v="MTSS Tier 1"/>
    <s v="Active"/>
    <x v="2"/>
    <s v="Science"/>
    <d v="2026-02-04T00:00:00"/>
    <x v="2"/>
    <s v="Met"/>
    <n v="2"/>
    <n v="0"/>
  </r>
  <r>
    <s v="S1003"/>
    <s v="Isabella Johnson"/>
    <n v="8"/>
    <s v="Core"/>
    <s v="Active"/>
    <x v="3"/>
    <s v="Math"/>
    <d v="2026-03-02T00:00:00"/>
    <x v="3"/>
    <s v="Met"/>
    <n v="0"/>
    <n v="0"/>
  </r>
  <r>
    <s v="S1006"/>
    <s v="Ella Wilson"/>
    <n v="6"/>
    <s v="MTSS Tier 1"/>
    <s v="Withdrawn"/>
    <x v="4"/>
    <s v="Science"/>
    <d v="2026-01-23T00:00:00"/>
    <x v="4"/>
    <s v="Below"/>
    <n v="0"/>
    <n v="0"/>
  </r>
  <r>
    <s v="S1007"/>
    <s v="Isabella Anderson"/>
    <n v="7"/>
    <s v="MTSS Tier 2"/>
    <s v="Active"/>
    <x v="2"/>
    <s v="Not Available"/>
    <s v="Not Available"/>
    <x v="5"/>
    <s v="Not Available"/>
    <n v="1"/>
    <n v="0"/>
  </r>
  <r>
    <s v="S1008"/>
    <s v="Isabella Johnson"/>
    <n v="7"/>
    <s v="MTSS Tier 1"/>
    <s v="Active"/>
    <x v="5"/>
    <s v="Science"/>
    <d v="2026-03-07T00:00:00"/>
    <x v="6"/>
    <s v="Met"/>
    <n v="0"/>
    <n v="0"/>
  </r>
  <r>
    <s v="S1009"/>
    <s v="Noah Wilson"/>
    <n v="6"/>
    <s v="Core"/>
    <s v="Active"/>
    <x v="6"/>
    <s v="Math"/>
    <d v="2026-03-12T00:00:00"/>
    <x v="7"/>
    <s v="Met"/>
    <n v="1"/>
    <n v="0"/>
  </r>
  <r>
    <s v="S1010"/>
    <s v="Lucas Anderson"/>
    <n v="6"/>
    <s v="Core"/>
    <s v="Withdrawn"/>
    <x v="7"/>
    <s v="Math"/>
    <d v="2026-02-09T00:00:00"/>
    <x v="8"/>
    <s v="Met"/>
    <n v="1"/>
    <n v="0"/>
  </r>
  <r>
    <s v="S1012"/>
    <s v="Liam Patel"/>
    <n v="7"/>
    <s v="Core"/>
    <s v="Active"/>
    <x v="8"/>
    <s v="Math"/>
    <d v="2026-02-18T00:00:00"/>
    <x v="9"/>
    <s v="Met"/>
    <s v="Not Available"/>
    <s v="Not Available"/>
  </r>
  <r>
    <s v="S1013"/>
    <s v="James Thomas"/>
    <n v="8"/>
    <s v="Core"/>
    <s v="Active"/>
    <x v="9"/>
    <s v="Science"/>
    <d v="2026-03-18T00:00:00"/>
    <x v="10"/>
    <s v="Met"/>
    <n v="3"/>
    <n v="1"/>
  </r>
  <r>
    <s v="S1014"/>
    <s v="Ethan Smith"/>
    <n v="8"/>
    <s v="MTSS Tier 1"/>
    <s v="Active"/>
    <x v="10"/>
    <s v="Science"/>
    <d v="2026-02-08T00:00:00"/>
    <x v="10"/>
    <s v="Met"/>
    <n v="1"/>
    <n v="0"/>
  </r>
  <r>
    <s v="S1015"/>
    <s v="Liam Taylor"/>
    <n v="6"/>
    <s v="Core"/>
    <s v="Active"/>
    <x v="11"/>
    <s v="ELA"/>
    <d v="2026-04-14T00:00:00"/>
    <x v="11"/>
    <s v="Met"/>
    <n v="0"/>
    <n v="0"/>
  </r>
  <r>
    <s v="S1016"/>
    <s v="Ava Miller"/>
    <n v="8"/>
    <s v="MTSS Tier 1"/>
    <s v="Active"/>
    <x v="12"/>
    <s v="ELA"/>
    <d v="2026-03-30T00:00:00"/>
    <x v="11"/>
    <s v="Met"/>
    <n v="1"/>
    <n v="0"/>
  </r>
  <r>
    <s v="S1017"/>
    <s v="James Lee"/>
    <n v="5"/>
    <s v="Core"/>
    <s v="Active"/>
    <x v="13"/>
    <s v="Math"/>
    <d v="2026-02-21T00:00:00"/>
    <x v="12"/>
    <s v="Met"/>
    <n v="2"/>
    <n v="0"/>
  </r>
  <r>
    <s v="S1018"/>
    <s v="James Patel"/>
    <n v="8"/>
    <s v="MTSS Tier 1"/>
    <s v="Active"/>
    <x v="14"/>
    <s v="Science"/>
    <d v="2026-01-16T00:00:00"/>
    <x v="13"/>
    <s v="Below"/>
    <n v="4"/>
    <n v="1"/>
  </r>
  <r>
    <s v="S1019"/>
    <s v="Harper Thomas"/>
    <n v="8"/>
    <s v="Core"/>
    <s v="Active"/>
    <x v="15"/>
    <s v="Not Available"/>
    <s v="Not Available"/>
    <x v="5"/>
    <s v="Not Available"/>
    <n v="2"/>
    <n v="0"/>
  </r>
  <r>
    <s v="S1020"/>
    <s v="Mason Thomas"/>
    <n v="5"/>
    <s v="Core"/>
    <s v="Active"/>
    <x v="16"/>
    <s v="Science"/>
    <d v="2026-04-06T00:00:00"/>
    <x v="14"/>
    <s v="Met"/>
    <n v="2"/>
    <n v="1"/>
  </r>
  <r>
    <s v="S1021"/>
    <s v="Leo Thomas"/>
    <n v="6"/>
    <s v="Core"/>
    <s v="Active"/>
    <x v="17"/>
    <s v="ELA"/>
    <d v="2026-02-17T00:00:00"/>
    <x v="15"/>
    <s v="Below"/>
    <n v="1"/>
    <n v="0"/>
  </r>
  <r>
    <s v="S1022"/>
    <s v="Charlotte Thomas"/>
    <n v="5"/>
    <s v="MTSS Tier 1"/>
    <s v="Active"/>
    <x v="18"/>
    <s v="ELA"/>
    <d v="2026-01-31T00:00:00"/>
    <x v="3"/>
    <s v="Met"/>
    <n v="0"/>
    <n v="0"/>
  </r>
  <r>
    <s v="S1023"/>
    <s v="Charlotte Johnson"/>
    <n v="8"/>
    <s v="Core"/>
    <s v="Active"/>
    <x v="19"/>
    <s v="Science"/>
    <d v="2026-02-26T00:00:00"/>
    <x v="7"/>
    <s v="Met"/>
    <n v="1"/>
    <n v="0"/>
  </r>
  <r>
    <s v="S1024"/>
    <s v="Ella Anderson"/>
    <n v="6"/>
    <s v="MTSS Tier 3"/>
    <s v="Active"/>
    <x v="20"/>
    <s v="Science"/>
    <d v="2026-03-14T00:00:00"/>
    <x v="13"/>
    <s v="Below"/>
    <n v="4"/>
    <n v="2"/>
  </r>
  <r>
    <s v="S1025"/>
    <s v="James Taylor"/>
    <n v="8"/>
    <s v="MTSS Tier 2"/>
    <s v="Active"/>
    <x v="10"/>
    <s v="Science"/>
    <d v="2026-03-06T00:00:00"/>
    <x v="6"/>
    <s v="Met"/>
    <n v="2"/>
    <n v="0"/>
  </r>
  <r>
    <s v="S1026"/>
    <s v="Daniel Wilson"/>
    <n v="5"/>
    <s v="Core"/>
    <s v="Active"/>
    <x v="21"/>
    <s v="ELA"/>
    <d v="2026-03-09T00:00:00"/>
    <x v="16"/>
    <s v="Below"/>
    <n v="0"/>
    <n v="0"/>
  </r>
  <r>
    <s v="S1027"/>
    <s v="Mia Thomas"/>
    <n v="5"/>
    <s v="MTSS Tier 3"/>
    <s v="Active"/>
    <x v="22"/>
    <s v="Science"/>
    <d v="2026-02-07T00:00:00"/>
    <x v="17"/>
    <s v="Met"/>
    <n v="1"/>
    <n v="0"/>
  </r>
  <r>
    <s v="S1028"/>
    <s v="Emma Miller"/>
    <n v="8"/>
    <s v="Core"/>
    <s v="Active"/>
    <x v="23"/>
    <s v="Science"/>
    <d v="2026-02-08T00:00:00"/>
    <x v="7"/>
    <s v="Met"/>
    <n v="3"/>
    <n v="0"/>
  </r>
  <r>
    <s v="S1029"/>
    <s v="Ella Wilson"/>
    <n v="7"/>
    <s v="Core"/>
    <s v="Active"/>
    <x v="24"/>
    <s v="Math"/>
    <d v="2026-03-26T00:00:00"/>
    <x v="8"/>
    <s v="Met"/>
    <n v="1"/>
    <n v="0"/>
  </r>
  <r>
    <s v="S1030"/>
    <s v="Olivia Brown"/>
    <n v="7"/>
    <s v="MTSS Tier 1"/>
    <s v="Active"/>
    <x v="5"/>
    <s v="Math"/>
    <d v="2026-03-07T00:00:00"/>
    <x v="18"/>
    <s v="Met"/>
    <n v="3"/>
    <n v="1"/>
  </r>
  <r>
    <s v="S1031"/>
    <s v="Sophia Brown"/>
    <n v="5"/>
    <s v="MTSS Tier 1"/>
    <s v="Active"/>
    <x v="14"/>
    <s v="ELA"/>
    <d v="2026-03-25T00:00:00"/>
    <x v="0"/>
    <s v="Met"/>
    <n v="0"/>
    <n v="0"/>
  </r>
  <r>
    <s v="S1032"/>
    <s v="Olivia Miller"/>
    <n v="5"/>
    <s v="MTSS Tier 1"/>
    <s v="Active"/>
    <x v="25"/>
    <s v="Science"/>
    <d v="2026-04-12T00:00:00"/>
    <x v="12"/>
    <s v="Met"/>
    <n v="1"/>
    <n v="0"/>
  </r>
  <r>
    <s v="S1033"/>
    <s v="Jack Anderson"/>
    <n v="7"/>
    <s v="Core"/>
    <s v="Active"/>
    <x v="26"/>
    <s v="Science"/>
    <d v="2026-02-16T00:00:00"/>
    <x v="0"/>
    <s v="Met"/>
    <n v="1"/>
    <n v="0"/>
  </r>
  <r>
    <s v="S1034"/>
    <s v="Noah Miller"/>
    <n v="7"/>
    <s v="Core"/>
    <s v="Active"/>
    <x v="25"/>
    <s v="Math"/>
    <d v="2026-03-04T00:00:00"/>
    <x v="19"/>
    <s v="Met"/>
    <n v="2"/>
    <n v="0"/>
  </r>
  <r>
    <s v="S1035"/>
    <s v="Henry Johnson"/>
    <n v="8"/>
    <s v="MTSS Tier 1"/>
    <s v="Active"/>
    <x v="27"/>
    <s v="ELA"/>
    <d v="2026-02-12T00:00:00"/>
    <x v="20"/>
    <s v="Below"/>
    <n v="0"/>
    <n v="0"/>
  </r>
  <r>
    <s v="S1036"/>
    <s v="Jack Miller"/>
    <n v="8"/>
    <s v="MTSS Tier 2"/>
    <s v="Active"/>
    <x v="28"/>
    <s v="Math"/>
    <d v="2026-03-18T00:00:00"/>
    <x v="17"/>
    <s v="Met"/>
    <n v="0"/>
    <n v="0"/>
  </r>
  <r>
    <s v="S1037"/>
    <s v="Sophia Garcia"/>
    <n v="7"/>
    <s v="MTSS Tier 1"/>
    <s v="Active"/>
    <x v="29"/>
    <s v="Math"/>
    <d v="2026-02-05T00:00:00"/>
    <x v="12"/>
    <s v="Met"/>
    <n v="0"/>
    <n v="0"/>
  </r>
  <r>
    <s v="S1038"/>
    <s v="Liam Wilson"/>
    <n v="8"/>
    <s v="Core"/>
    <s v="Active"/>
    <x v="30"/>
    <s v="Math"/>
    <d v="2026-02-09T00:00:00"/>
    <x v="21"/>
    <s v="Below"/>
    <n v="1"/>
    <n v="1"/>
  </r>
  <r>
    <s v="S1039"/>
    <s v="Daniel Patel"/>
    <n v="8"/>
    <s v="MTSS Tier 1"/>
    <s v="Active"/>
    <x v="31"/>
    <s v="Math"/>
    <d v="2026-02-11T00:00:00"/>
    <x v="21"/>
    <s v="Below"/>
    <n v="2"/>
    <n v="0"/>
  </r>
  <r>
    <s v="S1040"/>
    <s v="Charlotte Davis"/>
    <n v="6"/>
    <s v="MTSS Tier 1"/>
    <s v="Active"/>
    <x v="32"/>
    <s v="Science"/>
    <d v="2026-04-09T00:00:00"/>
    <x v="21"/>
    <s v="Below"/>
    <n v="2"/>
    <n v="0"/>
  </r>
  <r>
    <s v="S1041"/>
    <s v="Olivia Anderson"/>
    <n v="8"/>
    <s v="Core"/>
    <s v="Active"/>
    <x v="33"/>
    <s v="Science"/>
    <d v="2026-03-04T00:00:00"/>
    <x v="3"/>
    <s v="Met"/>
    <n v="3"/>
    <n v="0"/>
  </r>
  <r>
    <s v="S1042"/>
    <s v="James Miller"/>
    <n v="5"/>
    <s v="Core"/>
    <s v="Active"/>
    <x v="34"/>
    <s v="Math"/>
    <d v="2026-03-26T00:00:00"/>
    <x v="22"/>
    <s v="Met"/>
    <n v="3"/>
    <n v="0"/>
  </r>
  <r>
    <s v="S1043"/>
    <s v="Lucas Lee"/>
    <n v="8"/>
    <s v="Core"/>
    <s v="Active"/>
    <x v="35"/>
    <s v="ELA"/>
    <d v="2026-04-05T00:00:00"/>
    <x v="14"/>
    <s v="Met"/>
    <n v="2"/>
    <n v="1"/>
  </r>
  <r>
    <s v="S1044"/>
    <s v="Charlotte Brown"/>
    <n v="8"/>
    <s v="Core"/>
    <s v="Active"/>
    <x v="36"/>
    <s v="Not Available"/>
    <s v="Not Available"/>
    <x v="5"/>
    <s v="Not Available"/>
    <n v="0"/>
    <n v="0"/>
  </r>
  <r>
    <s v="S1045"/>
    <s v="Mia Garcia"/>
    <n v="7"/>
    <s v="Core"/>
    <s v="Active"/>
    <x v="37"/>
    <s v="ELA"/>
    <d v="2026-03-04T00:00:00"/>
    <x v="11"/>
    <s v="Met"/>
    <n v="0"/>
    <n v="0"/>
  </r>
  <r>
    <s v="S1046"/>
    <s v="Henry Taylor"/>
    <n v="5"/>
    <s v="Core"/>
    <s v="Active"/>
    <x v="38"/>
    <s v="ELA"/>
    <d v="2026-02-03T00:00:00"/>
    <x v="23"/>
    <s v="Met"/>
    <n v="1"/>
    <n v="0"/>
  </r>
  <r>
    <s v="S1047"/>
    <s v="Harper Thomas"/>
    <n v="8"/>
    <s v="Core"/>
    <s v="Active"/>
    <x v="39"/>
    <s v="Math"/>
    <d v="2026-04-10T00:00:00"/>
    <x v="6"/>
    <s v="Met"/>
    <n v="1"/>
    <n v="0"/>
  </r>
  <r>
    <s v="S1048"/>
    <s v="Noah Davis"/>
    <n v="8"/>
    <s v="Core"/>
    <s v="Active"/>
    <x v="3"/>
    <s v="Science"/>
    <d v="2026-03-18T00:00:00"/>
    <x v="24"/>
    <s v="Below"/>
    <n v="1"/>
    <n v="0"/>
  </r>
  <r>
    <s v="S1049"/>
    <s v="Jack Anderson"/>
    <n v="6"/>
    <s v="MTSS Tier 3"/>
    <s v="Withdrawn"/>
    <x v="40"/>
    <s v="ELA"/>
    <d v="2026-03-16T00:00:00"/>
    <x v="16"/>
    <s v="Below"/>
    <n v="4"/>
    <n v="0"/>
  </r>
  <r>
    <s v="S1050"/>
    <s v="Lucas Patel"/>
    <n v="8"/>
    <s v="MTSS Tier 2"/>
    <s v="Active"/>
    <x v="41"/>
    <s v="Math"/>
    <d v="2026-03-04T00:00:00"/>
    <x v="25"/>
    <s v="Met"/>
    <n v="1"/>
    <n v="0"/>
  </r>
  <r>
    <s v="S1051"/>
    <s v="Noah Davis"/>
    <n v="8"/>
    <s v="Core"/>
    <s v="Active"/>
    <x v="28"/>
    <s v="ELA"/>
    <d v="2026-03-26T00:00:00"/>
    <x v="26"/>
    <s v="Met"/>
    <n v="1"/>
    <n v="0"/>
  </r>
  <r>
    <s v="S1052"/>
    <s v="Liam Miller"/>
    <n v="6"/>
    <s v="MTSS Tier 3"/>
    <s v="Active"/>
    <x v="23"/>
    <s v="ELA"/>
    <d v="2026-01-15T00:00:00"/>
    <x v="3"/>
    <s v="Met"/>
    <n v="2"/>
    <n v="0"/>
  </r>
  <r>
    <s v="S1053"/>
    <s v="Ethan Johnson"/>
    <n v="7"/>
    <s v="MTSS Tier 1"/>
    <s v="Active"/>
    <x v="3"/>
    <s v="Math"/>
    <d v="2026-01-27T00:00:00"/>
    <x v="22"/>
    <s v="Met"/>
    <n v="0"/>
    <n v="0"/>
  </r>
  <r>
    <s v="S1054"/>
    <s v="Mason Brown"/>
    <n v="8"/>
    <s v="Core"/>
    <s v="Active"/>
    <x v="42"/>
    <s v="Science"/>
    <d v="2026-04-11T00:00:00"/>
    <x v="1"/>
    <s v="Met"/>
    <n v="0"/>
    <n v="0"/>
  </r>
  <r>
    <s v="S1055"/>
    <s v="Noah Brown"/>
    <n v="6"/>
    <s v="Core"/>
    <s v="Active"/>
    <x v="43"/>
    <s v="Science"/>
    <d v="2026-03-06T00:00:00"/>
    <x v="27"/>
    <s v="Met"/>
    <n v="1"/>
    <n v="0"/>
  </r>
  <r>
    <s v="S1056"/>
    <s v="Jack Taylor"/>
    <n v="5"/>
    <s v="Core"/>
    <s v="Active"/>
    <x v="44"/>
    <s v="Math"/>
    <d v="2026-03-11T00:00:00"/>
    <x v="19"/>
    <s v="Met"/>
    <n v="0"/>
    <n v="0"/>
  </r>
  <r>
    <s v="S1057"/>
    <s v="James Johnson"/>
    <n v="7"/>
    <s v="Core"/>
    <s v="Active"/>
    <x v="33"/>
    <s v="Science"/>
    <d v="2026-04-07T00:00:00"/>
    <x v="28"/>
    <s v="Met"/>
    <n v="1"/>
    <n v="0"/>
  </r>
  <r>
    <s v="S1058"/>
    <s v="Liam Thomas"/>
    <n v="5"/>
    <s v="MTSS Tier 1"/>
    <s v="Active"/>
    <x v="45"/>
    <s v="Math"/>
    <d v="2026-03-17T00:00:00"/>
    <x v="29"/>
    <s v="Below"/>
    <n v="1"/>
    <n v="0"/>
  </r>
  <r>
    <s v="S1059"/>
    <s v="Mason Wilson"/>
    <n v="5"/>
    <s v="MTSS Tier 1"/>
    <s v="Withdrawn"/>
    <x v="46"/>
    <s v="Math"/>
    <d v="2026-02-15T00:00:00"/>
    <x v="22"/>
    <s v="Met"/>
    <n v="0"/>
    <n v="0"/>
  </r>
  <r>
    <s v="S1060"/>
    <s v="Noah Smith"/>
    <n v="6"/>
    <s v="Core"/>
    <s v="Active"/>
    <x v="47"/>
    <s v="Math"/>
    <d v="2026-02-13T00:00:00"/>
    <x v="30"/>
    <s v="Below"/>
    <n v="0"/>
    <n v="0"/>
  </r>
  <r>
    <s v="S1061"/>
    <s v="Henry Garcia"/>
    <n v="8"/>
    <s v="MTSS Tier 3"/>
    <s v="Active"/>
    <x v="48"/>
    <s v="Science"/>
    <d v="2026-02-12T00:00:00"/>
    <x v="25"/>
    <s v="Met"/>
    <n v="2"/>
    <n v="0"/>
  </r>
  <r>
    <s v="S1062"/>
    <s v="Leo Brown"/>
    <n v="6"/>
    <s v="MTSS Tier 2"/>
    <s v="Active"/>
    <x v="3"/>
    <s v="Math"/>
    <d v="2026-03-04T00:00:00"/>
    <x v="11"/>
    <s v="Met"/>
    <n v="0"/>
    <n v="0"/>
  </r>
  <r>
    <s v="S1063"/>
    <s v="Charlotte Lee"/>
    <n v="6"/>
    <s v="Core"/>
    <s v="Active"/>
    <x v="49"/>
    <s v="ELA"/>
    <d v="2026-02-28T00:00:00"/>
    <x v="11"/>
    <s v="Met"/>
    <n v="2"/>
    <n v="1"/>
  </r>
  <r>
    <s v="S1064"/>
    <s v="Lucas Brown"/>
    <n v="6"/>
    <s v="MTSS Tier 3"/>
    <s v="Active"/>
    <x v="50"/>
    <s v="Science"/>
    <d v="2026-02-13T00:00:00"/>
    <x v="6"/>
    <s v="Met"/>
    <n v="2"/>
    <n v="0"/>
  </r>
  <r>
    <s v="S1065"/>
    <s v="Henry Davis"/>
    <n v="6"/>
    <s v="MTSS Tier 3"/>
    <s v="Active"/>
    <x v="51"/>
    <s v="Science"/>
    <d v="2026-01-30T00:00:00"/>
    <x v="14"/>
    <s v="Met"/>
    <n v="2"/>
    <n v="0"/>
  </r>
  <r>
    <s v="S1066"/>
    <s v="Lucas Brown"/>
    <n v="7"/>
    <s v="MTSS Tier 3"/>
    <s v="Active"/>
    <x v="21"/>
    <s v="Science"/>
    <d v="2026-02-23T00:00:00"/>
    <x v="30"/>
    <s v="Below"/>
    <n v="0"/>
    <n v="0"/>
  </r>
  <r>
    <s v="S1067"/>
    <s v="Leo Anderson"/>
    <n v="8"/>
    <s v="Core"/>
    <s v="Withdrawn"/>
    <x v="52"/>
    <s v="Science"/>
    <d v="2026-02-02T00:00:00"/>
    <x v="13"/>
    <s v="Below"/>
    <n v="0"/>
    <n v="0"/>
  </r>
  <r>
    <s v="S1068"/>
    <s v="Amelia Brown"/>
    <n v="5"/>
    <s v="MTSS Tier 1"/>
    <s v="Active"/>
    <x v="31"/>
    <s v="ELA"/>
    <d v="2026-02-01T00:00:00"/>
    <x v="31"/>
    <s v="Met"/>
    <n v="3"/>
    <n v="0"/>
  </r>
  <r>
    <s v="S1069"/>
    <s v="Jack Smith"/>
    <n v="5"/>
    <s v="Core"/>
    <s v="Active"/>
    <x v="53"/>
    <s v="Science"/>
    <d v="2026-01-15T00:00:00"/>
    <x v="20"/>
    <s v="Below"/>
    <n v="2"/>
    <n v="0"/>
  </r>
  <r>
    <s v="S1070"/>
    <s v="Charlotte Smith"/>
    <n v="8"/>
    <s v="MTSS Tier 1"/>
    <s v="Active"/>
    <x v="54"/>
    <s v="Science"/>
    <d v="2026-04-02T00:00:00"/>
    <x v="21"/>
    <s v="Below"/>
    <n v="0"/>
    <n v="0"/>
  </r>
  <r>
    <s v="S1071"/>
    <s v="Amelia Thomas"/>
    <n v="5"/>
    <s v="MTSS Tier 3"/>
    <s v="Active"/>
    <x v="55"/>
    <s v="Math"/>
    <d v="2026-03-02T00:00:00"/>
    <x v="14"/>
    <s v="Met"/>
    <n v="2"/>
    <n v="0"/>
  </r>
  <r>
    <s v="S1072"/>
    <s v="Sophia Patel"/>
    <n v="8"/>
    <s v="MTSS Tier 1"/>
    <s v="Active"/>
    <x v="47"/>
    <s v="Science"/>
    <d v="2026-03-21T00:00:00"/>
    <x v="32"/>
    <s v="Met"/>
    <n v="0"/>
    <n v="0"/>
  </r>
  <r>
    <s v="S1073"/>
    <s v="Charlotte Wilson"/>
    <n v="5"/>
    <s v="MTSS Tier 2"/>
    <s v="Active"/>
    <x v="56"/>
    <s v="ELA"/>
    <d v="2026-02-21T00:00:00"/>
    <x v="33"/>
    <s v="Below"/>
    <n v="0"/>
    <n v="0"/>
  </r>
  <r>
    <s v="S1074"/>
    <s v="Amelia Lee"/>
    <n v="6"/>
    <s v="MTSS Tier 2"/>
    <s v="Active"/>
    <x v="57"/>
    <s v="ELA"/>
    <d v="2026-03-06T00:00:00"/>
    <x v="11"/>
    <s v="Met"/>
    <n v="0"/>
    <n v="0"/>
  </r>
  <r>
    <s v="S1075"/>
    <s v="Ava Brown"/>
    <n v="5"/>
    <s v="MTSS Tier 2"/>
    <s v="Active"/>
    <x v="40"/>
    <s v="ELA"/>
    <d v="2026-03-18T00:00:00"/>
    <x v="34"/>
    <s v="Met"/>
    <n v="2"/>
    <n v="0"/>
  </r>
  <r>
    <s v="S1076"/>
    <s v="Olivia Brown"/>
    <n v="8"/>
    <s v="Core"/>
    <s v="Active"/>
    <x v="3"/>
    <s v="ELA"/>
    <d v="2026-01-18T00:00:00"/>
    <x v="35"/>
    <s v="Met"/>
    <n v="3"/>
    <n v="0"/>
  </r>
  <r>
    <s v="S1077"/>
    <s v="Sophia Garcia"/>
    <n v="8"/>
    <s v="Core"/>
    <s v="Active"/>
    <x v="34"/>
    <s v="Science"/>
    <d v="2026-01-15T00:00:00"/>
    <x v="36"/>
    <s v="Met"/>
    <n v="2"/>
    <n v="0"/>
  </r>
  <r>
    <s v="S1078"/>
    <s v="Ava Smith"/>
    <n v="8"/>
    <s v="Core"/>
    <s v="Active"/>
    <x v="58"/>
    <s v="Science"/>
    <d v="2026-01-22T00:00:00"/>
    <x v="3"/>
    <s v="Met"/>
    <n v="0"/>
    <n v="0"/>
  </r>
  <r>
    <s v="S1079"/>
    <s v="James Lee"/>
    <n v="8"/>
    <s v="MTSS Tier 2"/>
    <s v="Active"/>
    <x v="59"/>
    <s v="ELA"/>
    <d v="2026-02-12T00:00:00"/>
    <x v="9"/>
    <s v="Met"/>
    <n v="2"/>
    <n v="0"/>
  </r>
  <r>
    <s v="S1080"/>
    <s v="Lucas Thomas"/>
    <n v="8"/>
    <s v="Core"/>
    <s v="Active"/>
    <x v="19"/>
    <s v="ELA"/>
    <d v="2026-03-10T00:00:00"/>
    <x v="12"/>
    <s v="Met"/>
    <n v="5"/>
    <n v="1"/>
  </r>
  <r>
    <s v="S1081"/>
    <s v="Isabella Taylor"/>
    <n v="7"/>
    <s v="Core"/>
    <s v="Active"/>
    <x v="33"/>
    <s v="Science"/>
    <d v="2026-01-17T00:00:00"/>
    <x v="12"/>
    <s v="Met"/>
    <n v="1"/>
    <n v="0"/>
  </r>
  <r>
    <s v="S1082"/>
    <s v="Ella Patel"/>
    <n v="7"/>
    <s v="Core"/>
    <s v="Active"/>
    <x v="60"/>
    <s v="ELA"/>
    <d v="2026-02-15T00:00:00"/>
    <x v="11"/>
    <s v="Met"/>
    <n v="2"/>
    <n v="0"/>
  </r>
  <r>
    <s v="S1083"/>
    <s v="Harper Wilson"/>
    <n v="5"/>
    <s v="MTSS Tier 1"/>
    <s v="Active"/>
    <x v="61"/>
    <s v="Math"/>
    <d v="2026-01-24T00:00:00"/>
    <x v="1"/>
    <s v="Met"/>
    <n v="3"/>
    <n v="0"/>
  </r>
  <r>
    <s v="S1084"/>
    <s v="Lucas Johnson"/>
    <n v="8"/>
    <s v="MTSS Tier 2"/>
    <s v="Active"/>
    <x v="62"/>
    <s v="ELA"/>
    <d v="2026-03-29T00:00:00"/>
    <x v="26"/>
    <s v="Met"/>
    <n v="1"/>
    <n v="0"/>
  </r>
  <r>
    <s v="S1085"/>
    <s v="Mia Wilson"/>
    <n v="5"/>
    <s v="MTSS Tier 2"/>
    <s v="Active"/>
    <x v="63"/>
    <s v="ELA"/>
    <d v="2026-04-07T00:00:00"/>
    <x v="18"/>
    <s v="Met"/>
    <n v="0"/>
    <n v="0"/>
  </r>
  <r>
    <s v="S1086"/>
    <s v="Mia Anderson"/>
    <n v="8"/>
    <s v="Core"/>
    <s v="Active"/>
    <x v="64"/>
    <s v="Math"/>
    <d v="2026-02-17T00:00:00"/>
    <x v="10"/>
    <s v="Met"/>
    <n v="0"/>
    <n v="0"/>
  </r>
  <r>
    <s v="S1087"/>
    <s v="Ava Davis"/>
    <n v="8"/>
    <s v="MTSS Tier 2"/>
    <s v="Active"/>
    <x v="39"/>
    <s v="Math"/>
    <d v="2026-04-11T00:00:00"/>
    <x v="18"/>
    <s v="Met"/>
    <n v="0"/>
    <n v="0"/>
  </r>
  <r>
    <s v="S1088"/>
    <s v="Emma Anderson"/>
    <n v="7"/>
    <s v="MTSS Tier 1"/>
    <s v="Active"/>
    <x v="65"/>
    <s v="Science"/>
    <d v="2026-03-10T00:00:00"/>
    <x v="30"/>
    <s v="Below"/>
    <n v="1"/>
    <n v="1"/>
  </r>
  <r>
    <s v="S1089"/>
    <s v="Mason Brown"/>
    <n v="7"/>
    <s v="Core"/>
    <s v="Active"/>
    <x v="53"/>
    <s v="Science"/>
    <d v="2026-02-15T00:00:00"/>
    <x v="14"/>
    <s v="Met"/>
    <n v="0"/>
    <n v="0"/>
  </r>
  <r>
    <s v="S1090"/>
    <s v="Olivia Patel"/>
    <n v="6"/>
    <s v="MTSS Tier 1"/>
    <s v="Active"/>
    <x v="66"/>
    <s v="Math"/>
    <d v="2026-03-05T00:00:00"/>
    <x v="37"/>
    <s v="Below"/>
    <n v="1"/>
    <n v="0"/>
  </r>
  <r>
    <s v="S1091"/>
    <s v="Sophia Davis"/>
    <n v="7"/>
    <s v="Core"/>
    <s v="Active"/>
    <x v="67"/>
    <s v="Math"/>
    <d v="2026-01-21T00:00:00"/>
    <x v="10"/>
    <s v="Met"/>
    <n v="2"/>
    <n v="0"/>
  </r>
  <r>
    <s v="S1092"/>
    <s v="Olivia Lee"/>
    <n v="6"/>
    <s v="Core"/>
    <s v="Active"/>
    <x v="68"/>
    <s v="Science"/>
    <d v="2026-01-22T00:00:00"/>
    <x v="38"/>
    <s v="Below"/>
    <n v="1"/>
    <n v="1"/>
  </r>
  <r>
    <s v="S1093"/>
    <s v="Sophia Johnson"/>
    <n v="6"/>
    <s v="MTSS Tier 1"/>
    <s v="Active"/>
    <x v="7"/>
    <s v="ELA"/>
    <d v="2026-03-20T00:00:00"/>
    <x v="28"/>
    <s v="Met"/>
    <n v="2"/>
    <n v="0"/>
  </r>
  <r>
    <s v="S1094"/>
    <s v="Lucas Smith"/>
    <n v="6"/>
    <s v="Core"/>
    <s v="Active"/>
    <x v="69"/>
    <s v="Math"/>
    <d v="2026-03-12T00:00:00"/>
    <x v="19"/>
    <s v="Met"/>
    <n v="1"/>
    <n v="0"/>
  </r>
  <r>
    <s v="S1095"/>
    <s v="James Patel"/>
    <n v="6"/>
    <s v="Core"/>
    <s v="Active"/>
    <x v="26"/>
    <s v="Science"/>
    <d v="2026-03-22T00:00:00"/>
    <x v="16"/>
    <s v="Below"/>
    <n v="0"/>
    <n v="0"/>
  </r>
  <r>
    <s v="S1096"/>
    <s v="Liam Patel"/>
    <n v="6"/>
    <s v="Core"/>
    <s v="Active"/>
    <x v="57"/>
    <s v="ELA"/>
    <d v="2026-04-12T00:00:00"/>
    <x v="35"/>
    <s v="Met"/>
    <n v="1"/>
    <n v="0"/>
  </r>
  <r>
    <s v="S1097"/>
    <s v="Ava Anderson"/>
    <n v="5"/>
    <s v="Core"/>
    <s v="Active"/>
    <x v="70"/>
    <s v="Math"/>
    <d v="2026-04-11T00:00:00"/>
    <x v="1"/>
    <s v="Met"/>
    <n v="1"/>
    <n v="0"/>
  </r>
  <r>
    <s v="S1098"/>
    <s v="Leo Brown"/>
    <n v="7"/>
    <s v="Core"/>
    <s v="Withdrawn"/>
    <x v="71"/>
    <s v="ELA"/>
    <d v="2026-03-14T00:00:00"/>
    <x v="22"/>
    <s v="Met"/>
    <n v="1"/>
    <n v="0"/>
  </r>
  <r>
    <s v="S1099"/>
    <s v="Emma Miller"/>
    <n v="6"/>
    <s v="MTSS Tier 1"/>
    <s v="Active"/>
    <x v="22"/>
    <s v="Science"/>
    <d v="2026-03-27T00:00:00"/>
    <x v="20"/>
    <s v="Below"/>
    <n v="2"/>
    <n v="0"/>
  </r>
  <r>
    <s v="S1100"/>
    <s v="Mia Thomas"/>
    <n v="8"/>
    <s v="MTSS Tier 1"/>
    <s v="Active"/>
    <x v="3"/>
    <s v="Math"/>
    <d v="2026-03-09T00:00:00"/>
    <x v="14"/>
    <s v="Met"/>
    <n v="6"/>
    <n v="0"/>
  </r>
  <r>
    <s v="S1101"/>
    <s v="James Anderson"/>
    <n v="7"/>
    <s v="MTSS Tier 2"/>
    <s v="Active"/>
    <x v="49"/>
    <s v="ELA"/>
    <d v="2026-03-22T00:00:00"/>
    <x v="2"/>
    <s v="Met"/>
    <n v="1"/>
    <n v="0"/>
  </r>
  <r>
    <s v="S1102"/>
    <s v="Lucas Patel"/>
    <n v="7"/>
    <s v="MTSS Tier 2"/>
    <s v="Active"/>
    <x v="72"/>
    <s v="Math"/>
    <d v="2026-03-06T00:00:00"/>
    <x v="30"/>
    <s v="Below"/>
    <n v="0"/>
    <n v="0"/>
  </r>
  <r>
    <s v="S1103"/>
    <s v="Mia Garcia"/>
    <n v="6"/>
    <s v="MTSS Tier 1"/>
    <s v="Active"/>
    <x v="62"/>
    <s v="ELA"/>
    <d v="2026-01-22T00:00:00"/>
    <x v="23"/>
    <s v="Met"/>
    <n v="1"/>
    <n v="0"/>
  </r>
  <r>
    <s v="S1104"/>
    <s v="Ava Johnson"/>
    <n v="5"/>
    <s v="MTSS Tier 1"/>
    <s v="Active"/>
    <x v="73"/>
    <s v="Science"/>
    <d v="2026-02-17T00:00:00"/>
    <x v="38"/>
    <s v="Below"/>
    <n v="1"/>
    <n v="0"/>
  </r>
  <r>
    <s v="S1105"/>
    <s v="Mia Thomas"/>
    <n v="6"/>
    <s v="Core"/>
    <s v="Active"/>
    <x v="1"/>
    <s v="Science"/>
    <d v="2026-02-18T00:00:00"/>
    <x v="14"/>
    <s v="Met"/>
    <n v="1"/>
    <n v="0"/>
  </r>
  <r>
    <s v="S1106"/>
    <s v="Emma Anderson"/>
    <n v="5"/>
    <s v="Core"/>
    <s v="Active"/>
    <x v="43"/>
    <s v="Math"/>
    <d v="2026-04-12T00:00:00"/>
    <x v="18"/>
    <s v="Met"/>
    <n v="1"/>
    <n v="0"/>
  </r>
  <r>
    <s v="S1107"/>
    <s v="Charlotte Johnson"/>
    <n v="8"/>
    <s v="Core"/>
    <s v="Active"/>
    <x v="74"/>
    <s v="ELA"/>
    <d v="2026-04-02T00:00:00"/>
    <x v="32"/>
    <s v="Met"/>
    <n v="2"/>
    <n v="0"/>
  </r>
  <r>
    <s v="S1108"/>
    <s v="Henry Garcia"/>
    <n v="7"/>
    <s v="Core"/>
    <s v="Active"/>
    <x v="64"/>
    <s v="Math"/>
    <d v="2026-02-15T00:00:00"/>
    <x v="39"/>
    <s v="Below"/>
    <n v="1"/>
    <n v="1"/>
  </r>
  <r>
    <s v="S1109"/>
    <s v="Mia Taylor"/>
    <n v="8"/>
    <s v="Core"/>
    <s v="Active"/>
    <x v="63"/>
    <s v="Math"/>
    <d v="2026-03-01T00:00:00"/>
    <x v="30"/>
    <s v="Below"/>
    <n v="2"/>
    <n v="0"/>
  </r>
  <r>
    <s v="S1110"/>
    <s v="Ava Garcia"/>
    <n v="5"/>
    <s v="Core"/>
    <s v="Active"/>
    <x v="17"/>
    <s v="ELA"/>
    <d v="2026-01-30T00:00:00"/>
    <x v="0"/>
    <s v="Met"/>
    <n v="2"/>
    <n v="0"/>
  </r>
  <r>
    <s v="S1111"/>
    <s v="Emma Garcia"/>
    <n v="5"/>
    <s v="MTSS Tier 2"/>
    <s v="Active"/>
    <x v="44"/>
    <s v="ELA"/>
    <d v="2026-03-23T00:00:00"/>
    <x v="2"/>
    <s v="Met"/>
    <n v="2"/>
    <n v="0"/>
  </r>
  <r>
    <s v="S1112"/>
    <s v="Henry Johnson"/>
    <n v="8"/>
    <s v="MTSS Tier 3"/>
    <s v="Active"/>
    <x v="75"/>
    <s v="ELA"/>
    <d v="2026-02-20T00:00:00"/>
    <x v="14"/>
    <s v="Met"/>
    <n v="3"/>
    <n v="0"/>
  </r>
  <r>
    <s v="S1113"/>
    <s v="Olivia Wilson"/>
    <n v="5"/>
    <s v="MTSS Tier 1"/>
    <s v="Active"/>
    <x v="76"/>
    <s v="Science"/>
    <d v="2026-03-09T00:00:00"/>
    <x v="40"/>
    <s v="Met"/>
    <n v="0"/>
    <n v="0"/>
  </r>
  <r>
    <s v="S1114"/>
    <s v="Sophia Johnson"/>
    <n v="8"/>
    <s v="Core"/>
    <s v="Active"/>
    <x v="77"/>
    <s v="Math"/>
    <d v="2026-04-09T00:00:00"/>
    <x v="25"/>
    <s v="Met"/>
    <n v="4"/>
    <n v="0"/>
  </r>
  <r>
    <s v="S1115"/>
    <s v="Charlotte Miller"/>
    <n v="7"/>
    <s v="Core"/>
    <s v="Active"/>
    <x v="78"/>
    <s v="Math"/>
    <d v="2026-01-28T00:00:00"/>
    <x v="41"/>
    <s v="Met"/>
    <n v="2"/>
    <n v="0"/>
  </r>
  <r>
    <s v="S1116"/>
    <s v="Charlotte Brown"/>
    <n v="8"/>
    <s v="MTSS Tier 2"/>
    <s v="Active"/>
    <x v="79"/>
    <s v="Science"/>
    <d v="2026-03-10T00:00:00"/>
    <x v="32"/>
    <s v="Met"/>
    <n v="2"/>
    <n v="0"/>
  </r>
  <r>
    <s v="S1117"/>
    <s v="Mason Davis"/>
    <n v="7"/>
    <s v="MTSS Tier 2"/>
    <s v="Active"/>
    <x v="80"/>
    <s v="ELA"/>
    <d v="2026-03-03T00:00:00"/>
    <x v="19"/>
    <s v="Met"/>
    <n v="0"/>
    <n v="0"/>
  </r>
  <r>
    <s v="S1118"/>
    <s v="Amelia Wilson"/>
    <n v="8"/>
    <s v="Core"/>
    <s v="Active"/>
    <x v="30"/>
    <s v="Science"/>
    <d v="2026-04-06T00:00:00"/>
    <x v="42"/>
    <s v="Below"/>
    <n v="0"/>
    <n v="0"/>
  </r>
  <r>
    <s v="S1119"/>
    <s v="Ella Smith"/>
    <n v="5"/>
    <s v="MTSS Tier 1"/>
    <s v="Active"/>
    <x v="81"/>
    <s v="Science"/>
    <d v="2026-01-21T00:00:00"/>
    <x v="43"/>
    <s v="Below"/>
    <n v="2"/>
    <n v="0"/>
  </r>
  <r>
    <m/>
    <m/>
    <m/>
    <m/>
    <m/>
    <x v="82"/>
    <m/>
    <m/>
    <x v="4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A39F0-00B2-4670-B799-2CF87507ABC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Grade">
  <location ref="A3:E8" firstHeaderRow="0" firstDataRow="1" firstDataCol="1"/>
  <pivotFields count="12"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Attendance" fld="5" subtotal="average" baseField="2" baseItem="0" numFmtId="165"/>
    <dataField name="Average Assessment Score" fld="8" subtotal="average" baseField="2" baseItem="0" numFmtId="165"/>
    <dataField name="Sum of Discipline Incidents" fld="10" baseField="2" baseItem="0"/>
    <dataField name="Sum of Major Incidents" fld="11" baseField="2" baseItem="0"/>
  </dataFields>
  <formats count="3"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12F12-6879-444A-9417-8AA5EE69AF5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gram">
  <location ref="A1:E6" firstHeaderRow="0" firstDataRow="1" firstDataCol="1"/>
  <pivotFields count="12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dataField="1"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ttendance_Rate" fld="5" subtotal="average" baseField="0" baseItem="0" numFmtId="165"/>
    <dataField name="Average of Assessment_Score" fld="8" subtotal="average" baseField="0" baseItem="0" numFmtId="165"/>
    <dataField name="Sum of Discipline_Incidents" fld="10" baseField="0" baseItem="0"/>
    <dataField name="Sum of Major_Incidents" fld="11" baseField="0" baseItem="0"/>
  </dataFields>
  <formats count="2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90B34-8E58-4211-853D-09B1BEE0950B}" name="PivotTable1" cacheId="2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 rowHeaderCaption="Attendance Rate">
  <location ref="B5:C89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84">
        <item x="61"/>
        <item x="18"/>
        <item x="51"/>
        <item x="36"/>
        <item x="63"/>
        <item x="12"/>
        <item x="50"/>
        <item x="72"/>
        <item x="6"/>
        <item x="10"/>
        <item x="25"/>
        <item x="31"/>
        <item x="7"/>
        <item x="68"/>
        <item x="59"/>
        <item x="39"/>
        <item x="60"/>
        <item x="66"/>
        <item x="9"/>
        <item x="75"/>
        <item x="38"/>
        <item x="0"/>
        <item x="23"/>
        <item x="4"/>
        <item x="40"/>
        <item x="42"/>
        <item x="80"/>
        <item x="32"/>
        <item x="14"/>
        <item x="73"/>
        <item x="76"/>
        <item x="69"/>
        <item x="41"/>
        <item x="46"/>
        <item x="78"/>
        <item x="70"/>
        <item x="28"/>
        <item x="67"/>
        <item x="79"/>
        <item x="29"/>
        <item x="74"/>
        <item x="58"/>
        <item x="33"/>
        <item x="47"/>
        <item x="8"/>
        <item x="21"/>
        <item x="54"/>
        <item x="53"/>
        <item x="56"/>
        <item x="19"/>
        <item x="35"/>
        <item x="1"/>
        <item x="11"/>
        <item x="81"/>
        <item x="30"/>
        <item x="26"/>
        <item x="62"/>
        <item x="34"/>
        <item x="15"/>
        <item x="24"/>
        <item x="49"/>
        <item x="16"/>
        <item x="43"/>
        <item x="77"/>
        <item x="17"/>
        <item x="2"/>
        <item x="65"/>
        <item x="52"/>
        <item x="44"/>
        <item x="45"/>
        <item x="22"/>
        <item x="71"/>
        <item x="37"/>
        <item x="64"/>
        <item x="13"/>
        <item x="48"/>
        <item x="27"/>
        <item x="55"/>
        <item x="20"/>
        <item x="57"/>
        <item x="3"/>
        <item x="5"/>
        <item x="82"/>
        <item t="default"/>
      </items>
    </pivotField>
    <pivotField showAll="0"/>
    <pivotField showAll="0"/>
    <pivotField dataField="1" showAll="0">
      <items count="46">
        <item x="15"/>
        <item x="43"/>
        <item x="39"/>
        <item x="24"/>
        <item x="29"/>
        <item x="4"/>
        <item x="13"/>
        <item x="30"/>
        <item x="42"/>
        <item x="16"/>
        <item x="21"/>
        <item x="38"/>
        <item x="37"/>
        <item x="20"/>
        <item x="33"/>
        <item x="6"/>
        <item x="10"/>
        <item x="26"/>
        <item x="19"/>
        <item x="22"/>
        <item x="12"/>
        <item x="18"/>
        <item x="25"/>
        <item x="11"/>
        <item x="2"/>
        <item x="40"/>
        <item x="28"/>
        <item x="35"/>
        <item x="1"/>
        <item x="3"/>
        <item x="9"/>
        <item x="32"/>
        <item x="7"/>
        <item x="8"/>
        <item x="36"/>
        <item x="0"/>
        <item x="23"/>
        <item x="27"/>
        <item x="31"/>
        <item x="41"/>
        <item x="17"/>
        <item x="34"/>
        <item x="14"/>
        <item x="5"/>
        <item x="44"/>
        <item t="default"/>
      </items>
    </pivotField>
    <pivotField showAll="0"/>
    <pivotField showAll="0"/>
    <pivotField showAll="0"/>
  </pivotFields>
  <rowFields count="1">
    <field x="5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dataFields count="1">
    <dataField name="Average of Assessment_Score" fld="8" subtotal="average" baseField="0" baseItem="0"/>
  </dataFields>
  <formats count="2">
    <format dxfId="13">
      <pivotArea dataOnly="0" labelOnly="1" outline="0" axis="axisValues" fieldPosition="0"/>
    </format>
    <format dxfId="12">
      <pivotArea collapsedLevelsAreSubtotals="1" fieldPosition="0">
        <references count="1">
          <reference field="5" count="1">
            <x v="4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ACF6-6804-487A-8552-2EF518702628}">
  <dimension ref="A1:F20"/>
  <sheetViews>
    <sheetView workbookViewId="0">
      <selection activeCell="B18" sqref="B18"/>
    </sheetView>
  </sheetViews>
  <sheetFormatPr defaultRowHeight="15" x14ac:dyDescent="0.25"/>
  <cols>
    <col min="1" max="2" width="22" customWidth="1"/>
    <col min="3" max="3" width="65" customWidth="1"/>
    <col min="4" max="4" width="22" customWidth="1"/>
    <col min="5" max="5" width="30" customWidth="1"/>
    <col min="6" max="6" width="7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2" t="s">
        <v>13</v>
      </c>
      <c r="D3" s="2" t="s">
        <v>9</v>
      </c>
      <c r="E3" s="2" t="s">
        <v>14</v>
      </c>
      <c r="F3" s="2" t="s">
        <v>15</v>
      </c>
    </row>
    <row r="4" spans="1:6" x14ac:dyDescent="0.25">
      <c r="A4" s="2" t="s">
        <v>6</v>
      </c>
      <c r="B4" s="2" t="s">
        <v>16</v>
      </c>
      <c r="C4" s="2" t="s">
        <v>17</v>
      </c>
      <c r="D4" s="2" t="s">
        <v>9</v>
      </c>
      <c r="E4" s="2" t="s">
        <v>14</v>
      </c>
      <c r="F4" s="2" t="s">
        <v>15</v>
      </c>
    </row>
    <row r="5" spans="1:6" x14ac:dyDescent="0.25">
      <c r="A5" s="2" t="s">
        <v>6</v>
      </c>
      <c r="B5" s="2" t="s">
        <v>18</v>
      </c>
      <c r="C5" s="2" t="s">
        <v>19</v>
      </c>
      <c r="D5" s="2" t="s">
        <v>20</v>
      </c>
      <c r="E5" s="2" t="s">
        <v>14</v>
      </c>
      <c r="F5" s="2" t="s">
        <v>21</v>
      </c>
    </row>
    <row r="6" spans="1:6" x14ac:dyDescent="0.25">
      <c r="A6" s="2" t="s">
        <v>6</v>
      </c>
      <c r="B6" s="2" t="s">
        <v>22</v>
      </c>
      <c r="C6" s="2" t="s">
        <v>23</v>
      </c>
      <c r="D6" s="2" t="s">
        <v>20</v>
      </c>
      <c r="E6" s="2" t="s">
        <v>24</v>
      </c>
      <c r="F6" s="2" t="s">
        <v>25</v>
      </c>
    </row>
    <row r="7" spans="1:6" x14ac:dyDescent="0.25">
      <c r="A7" s="2" t="s">
        <v>6</v>
      </c>
      <c r="B7" s="2" t="s">
        <v>26</v>
      </c>
      <c r="C7" s="2" t="s">
        <v>27</v>
      </c>
      <c r="D7" s="2" t="s">
        <v>20</v>
      </c>
      <c r="E7" s="2" t="s">
        <v>14</v>
      </c>
      <c r="F7" s="2" t="s">
        <v>28</v>
      </c>
    </row>
    <row r="8" spans="1:6" x14ac:dyDescent="0.25">
      <c r="A8" s="2" t="s">
        <v>6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</row>
    <row r="9" spans="1:6" x14ac:dyDescent="0.25">
      <c r="A9" s="2" t="s">
        <v>34</v>
      </c>
      <c r="B9" s="2" t="s">
        <v>7</v>
      </c>
      <c r="C9" s="2" t="s">
        <v>35</v>
      </c>
      <c r="D9" s="2" t="s">
        <v>9</v>
      </c>
      <c r="E9" s="2" t="s">
        <v>36</v>
      </c>
      <c r="F9" s="2" t="s">
        <v>37</v>
      </c>
    </row>
    <row r="10" spans="1:6" x14ac:dyDescent="0.25">
      <c r="A10" s="2" t="s">
        <v>34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</row>
    <row r="11" spans="1:6" x14ac:dyDescent="0.25">
      <c r="A11" s="2" t="s">
        <v>34</v>
      </c>
      <c r="B11" s="2" t="s">
        <v>43</v>
      </c>
      <c r="C11" s="2" t="s">
        <v>44</v>
      </c>
      <c r="D11" s="2" t="s">
        <v>40</v>
      </c>
      <c r="E11" s="2" t="s">
        <v>45</v>
      </c>
      <c r="F11" s="2" t="s">
        <v>46</v>
      </c>
    </row>
    <row r="12" spans="1:6" ht="30" x14ac:dyDescent="0.25">
      <c r="A12" s="2" t="s">
        <v>34</v>
      </c>
      <c r="B12" s="2" t="s">
        <v>47</v>
      </c>
      <c r="C12" s="2" t="s">
        <v>48</v>
      </c>
      <c r="D12" s="2" t="s">
        <v>40</v>
      </c>
      <c r="E12" s="2" t="s">
        <v>45</v>
      </c>
      <c r="F12" s="2" t="s">
        <v>49</v>
      </c>
    </row>
    <row r="13" spans="1:6" ht="30" x14ac:dyDescent="0.25">
      <c r="A13" s="2" t="s">
        <v>34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54</v>
      </c>
    </row>
    <row r="14" spans="1:6" x14ac:dyDescent="0.25">
      <c r="A14" s="2" t="s">
        <v>55</v>
      </c>
      <c r="B14" s="2" t="s">
        <v>7</v>
      </c>
      <c r="C14" s="2" t="s">
        <v>56</v>
      </c>
      <c r="D14" s="2" t="s">
        <v>9</v>
      </c>
      <c r="E14" s="2" t="s">
        <v>36</v>
      </c>
      <c r="F14" s="2" t="s">
        <v>37</v>
      </c>
    </row>
    <row r="15" spans="1:6" x14ac:dyDescent="0.25">
      <c r="A15" s="2" t="s">
        <v>55</v>
      </c>
      <c r="B15" s="2" t="s">
        <v>57</v>
      </c>
      <c r="C15" s="2" t="s">
        <v>58</v>
      </c>
      <c r="D15" s="2" t="s">
        <v>20</v>
      </c>
      <c r="E15" s="2" t="s">
        <v>59</v>
      </c>
      <c r="F15" s="2" t="s">
        <v>60</v>
      </c>
    </row>
    <row r="16" spans="1:6" ht="30" x14ac:dyDescent="0.25">
      <c r="A16" s="2" t="s">
        <v>55</v>
      </c>
      <c r="B16" s="2" t="s">
        <v>61</v>
      </c>
      <c r="C16" s="2" t="s">
        <v>62</v>
      </c>
      <c r="D16" s="2" t="s">
        <v>40</v>
      </c>
      <c r="E16" s="2" t="s">
        <v>63</v>
      </c>
      <c r="F16" s="2" t="s">
        <v>64</v>
      </c>
    </row>
    <row r="17" spans="1:6" x14ac:dyDescent="0.25">
      <c r="A17" s="2" t="s">
        <v>55</v>
      </c>
      <c r="B17" s="2" t="s">
        <v>65</v>
      </c>
      <c r="C17" s="2" t="s">
        <v>66</v>
      </c>
      <c r="D17" s="2" t="s">
        <v>20</v>
      </c>
      <c r="E17" s="2" t="s">
        <v>67</v>
      </c>
      <c r="F17" s="2" t="s">
        <v>68</v>
      </c>
    </row>
    <row r="18" spans="1:6" x14ac:dyDescent="0.25">
      <c r="A18" s="2" t="s">
        <v>55</v>
      </c>
      <c r="B18" s="2" t="s">
        <v>69</v>
      </c>
      <c r="C18" s="2" t="s">
        <v>70</v>
      </c>
      <c r="D18" s="2" t="s">
        <v>31</v>
      </c>
      <c r="E18" s="2" t="s">
        <v>59</v>
      </c>
      <c r="F18" s="2" t="s">
        <v>71</v>
      </c>
    </row>
    <row r="19" spans="1:6" x14ac:dyDescent="0.25">
      <c r="A19" s="2" t="s">
        <v>72</v>
      </c>
      <c r="B19" s="2" t="s">
        <v>7</v>
      </c>
      <c r="C19" s="2" t="s">
        <v>73</v>
      </c>
      <c r="D19" s="2" t="s">
        <v>9</v>
      </c>
      <c r="E19" s="2" t="s">
        <v>36</v>
      </c>
      <c r="F19" s="2" t="s">
        <v>37</v>
      </c>
    </row>
    <row r="20" spans="1:6" ht="30" x14ac:dyDescent="0.25">
      <c r="A20" s="2" t="s">
        <v>72</v>
      </c>
      <c r="B20" s="2" t="s">
        <v>74</v>
      </c>
      <c r="C20" s="2" t="s">
        <v>75</v>
      </c>
      <c r="D20" s="2" t="s">
        <v>40</v>
      </c>
      <c r="E20" s="2" t="s">
        <v>76</v>
      </c>
      <c r="F20" s="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9B8F-DBA6-4269-9FDE-2F3CBC94D113}">
  <dimension ref="A1:D5"/>
  <sheetViews>
    <sheetView workbookViewId="0">
      <selection activeCell="D5" sqref="D5"/>
    </sheetView>
  </sheetViews>
  <sheetFormatPr defaultRowHeight="15" x14ac:dyDescent="0.25"/>
  <cols>
    <col min="1" max="1" width="21" customWidth="1"/>
    <col min="2" max="2" width="34.28515625" customWidth="1"/>
    <col min="3" max="3" width="42.85546875" customWidth="1"/>
    <col min="4" max="4" width="37" customWidth="1"/>
  </cols>
  <sheetData>
    <row r="1" spans="1:4" x14ac:dyDescent="0.25">
      <c r="A1" s="3" t="s">
        <v>78</v>
      </c>
      <c r="B1" s="3" t="s">
        <v>79</v>
      </c>
      <c r="C1" s="3" t="s">
        <v>80</v>
      </c>
      <c r="D1" s="3" t="s">
        <v>81</v>
      </c>
    </row>
    <row r="2" spans="1:4" x14ac:dyDescent="0.25">
      <c r="A2" t="s">
        <v>6</v>
      </c>
      <c r="B2" t="s">
        <v>82</v>
      </c>
      <c r="C2" t="s">
        <v>7</v>
      </c>
      <c r="D2" t="s">
        <v>83</v>
      </c>
    </row>
    <row r="3" spans="1:4" x14ac:dyDescent="0.25">
      <c r="A3" t="s">
        <v>34</v>
      </c>
      <c r="B3" t="s">
        <v>84</v>
      </c>
      <c r="C3" t="s">
        <v>7</v>
      </c>
      <c r="D3" t="s">
        <v>85</v>
      </c>
    </row>
    <row r="4" spans="1:4" x14ac:dyDescent="0.25">
      <c r="A4" t="s">
        <v>55</v>
      </c>
      <c r="B4" t="s">
        <v>86</v>
      </c>
      <c r="C4" t="s">
        <v>87</v>
      </c>
      <c r="D4" t="s">
        <v>88</v>
      </c>
    </row>
    <row r="5" spans="1:4" x14ac:dyDescent="0.25">
      <c r="A5" t="s">
        <v>72</v>
      </c>
      <c r="B5" t="s">
        <v>89</v>
      </c>
      <c r="C5" t="s">
        <v>7</v>
      </c>
      <c r="D5" t="s">
        <v>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C728-D123-4987-B23F-E1587B768795}">
  <dimension ref="A1:H118"/>
  <sheetViews>
    <sheetView workbookViewId="0">
      <selection activeCell="H4" sqref="H4"/>
    </sheetView>
  </sheetViews>
  <sheetFormatPr defaultRowHeight="15" x14ac:dyDescent="0.25"/>
  <cols>
    <col min="1" max="1" width="13.5703125" customWidth="1"/>
    <col min="2" max="2" width="13.42578125" customWidth="1"/>
    <col min="3" max="3" width="12.140625" customWidth="1"/>
    <col min="5" max="5" width="19.5703125" customWidth="1"/>
    <col min="7" max="7" width="20.28515625" customWidth="1"/>
    <col min="8" max="8" width="15.85546875" customWidth="1"/>
    <col min="9" max="9" width="21.28515625" customWidth="1"/>
    <col min="10" max="10" width="13" customWidth="1"/>
    <col min="11" max="11" width="20.42578125" customWidth="1"/>
  </cols>
  <sheetData>
    <row r="1" spans="1:8" x14ac:dyDescent="0.25">
      <c r="A1" s="4" t="s">
        <v>7</v>
      </c>
      <c r="B1" s="4" t="s">
        <v>12</v>
      </c>
      <c r="C1" s="4" t="s">
        <v>16</v>
      </c>
      <c r="D1" s="4" t="s">
        <v>18</v>
      </c>
      <c r="E1" s="4" t="s">
        <v>22</v>
      </c>
      <c r="F1" s="4" t="s">
        <v>26</v>
      </c>
      <c r="G1" s="4" t="s">
        <v>29</v>
      </c>
      <c r="H1" s="11" t="s">
        <v>297</v>
      </c>
    </row>
    <row r="2" spans="1:8" x14ac:dyDescent="0.25">
      <c r="A2" s="5" t="s">
        <v>90</v>
      </c>
      <c r="B2" s="5" t="s">
        <v>91</v>
      </c>
      <c r="C2" s="5" t="s">
        <v>92</v>
      </c>
      <c r="D2" s="5">
        <v>8</v>
      </c>
      <c r="E2" s="5" t="s">
        <v>93</v>
      </c>
      <c r="F2" s="5" t="s">
        <v>94</v>
      </c>
      <c r="G2" s="6">
        <v>45959</v>
      </c>
      <c r="H2" t="s">
        <v>298</v>
      </c>
    </row>
    <row r="3" spans="1:8" x14ac:dyDescent="0.25">
      <c r="A3" s="5" t="s">
        <v>95</v>
      </c>
      <c r="B3" s="5" t="s">
        <v>96</v>
      </c>
      <c r="C3" s="5" t="s">
        <v>97</v>
      </c>
      <c r="D3" s="5">
        <v>5</v>
      </c>
      <c r="E3" s="5" t="s">
        <v>98</v>
      </c>
      <c r="F3" s="5" t="s">
        <v>99</v>
      </c>
      <c r="G3" s="6">
        <v>45920</v>
      </c>
      <c r="H3" t="s">
        <v>299</v>
      </c>
    </row>
    <row r="4" spans="1:8" x14ac:dyDescent="0.25">
      <c r="A4" s="5" t="s">
        <v>100</v>
      </c>
      <c r="B4" s="5" t="s">
        <v>101</v>
      </c>
      <c r="C4" s="5" t="s">
        <v>102</v>
      </c>
      <c r="D4" s="5">
        <v>7</v>
      </c>
      <c r="E4" s="5" t="s">
        <v>93</v>
      </c>
      <c r="F4" s="5" t="s">
        <v>99</v>
      </c>
      <c r="G4" s="6">
        <v>45949</v>
      </c>
      <c r="H4" t="s">
        <v>300</v>
      </c>
    </row>
    <row r="5" spans="1:8" x14ac:dyDescent="0.25">
      <c r="A5" s="5" t="s">
        <v>103</v>
      </c>
      <c r="B5" s="5" t="s">
        <v>104</v>
      </c>
      <c r="C5" s="5" t="s">
        <v>102</v>
      </c>
      <c r="D5" s="5">
        <v>8</v>
      </c>
      <c r="E5" s="5" t="s">
        <v>93</v>
      </c>
      <c r="F5" s="5" t="s">
        <v>105</v>
      </c>
      <c r="G5" s="6">
        <v>45951</v>
      </c>
      <c r="H5" t="s">
        <v>301</v>
      </c>
    </row>
    <row r="6" spans="1:8" x14ac:dyDescent="0.25">
      <c r="A6" s="5" t="s">
        <v>109</v>
      </c>
      <c r="B6" s="5" t="s">
        <v>110</v>
      </c>
      <c r="C6" s="5" t="s">
        <v>92</v>
      </c>
      <c r="D6" s="5">
        <v>6</v>
      </c>
      <c r="E6" s="5" t="s">
        <v>98</v>
      </c>
      <c r="F6" s="5" t="s">
        <v>99</v>
      </c>
      <c r="G6" s="6">
        <v>45933</v>
      </c>
      <c r="H6" t="s">
        <v>302</v>
      </c>
    </row>
    <row r="7" spans="1:8" x14ac:dyDescent="0.25">
      <c r="A7" s="5" t="s">
        <v>111</v>
      </c>
      <c r="B7" s="5" t="s">
        <v>104</v>
      </c>
      <c r="C7" s="5" t="s">
        <v>112</v>
      </c>
      <c r="D7" s="5">
        <v>7</v>
      </c>
      <c r="E7" s="5" t="s">
        <v>93</v>
      </c>
      <c r="F7" s="5" t="s">
        <v>94</v>
      </c>
      <c r="G7" s="6">
        <v>45903</v>
      </c>
      <c r="H7" t="s">
        <v>303</v>
      </c>
    </row>
    <row r="8" spans="1:8" x14ac:dyDescent="0.25">
      <c r="A8" s="5" t="s">
        <v>113</v>
      </c>
      <c r="B8" s="5" t="s">
        <v>104</v>
      </c>
      <c r="C8" s="5" t="s">
        <v>102</v>
      </c>
      <c r="D8" s="5">
        <v>7</v>
      </c>
      <c r="E8" s="5" t="s">
        <v>93</v>
      </c>
      <c r="F8" s="5" t="s">
        <v>99</v>
      </c>
      <c r="G8" s="6">
        <v>45956</v>
      </c>
      <c r="H8" t="s">
        <v>301</v>
      </c>
    </row>
    <row r="9" spans="1:8" x14ac:dyDescent="0.25">
      <c r="A9" s="5" t="s">
        <v>114</v>
      </c>
      <c r="B9" s="5" t="s">
        <v>115</v>
      </c>
      <c r="C9" s="5" t="s">
        <v>92</v>
      </c>
      <c r="D9" s="5">
        <v>6</v>
      </c>
      <c r="E9" s="5" t="s">
        <v>93</v>
      </c>
      <c r="F9" s="5" t="s">
        <v>105</v>
      </c>
      <c r="G9" s="6">
        <v>45905</v>
      </c>
      <c r="H9" t="s">
        <v>304</v>
      </c>
    </row>
    <row r="10" spans="1:8" x14ac:dyDescent="0.25">
      <c r="A10" s="5" t="s">
        <v>116</v>
      </c>
      <c r="B10" s="5" t="s">
        <v>107</v>
      </c>
      <c r="C10" s="5" t="s">
        <v>112</v>
      </c>
      <c r="D10" s="5">
        <v>6</v>
      </c>
      <c r="E10" s="5" t="s">
        <v>98</v>
      </c>
      <c r="F10" s="5" t="s">
        <v>105</v>
      </c>
      <c r="G10" s="6">
        <v>45918</v>
      </c>
      <c r="H10" t="s">
        <v>305</v>
      </c>
    </row>
    <row r="11" spans="1:8" x14ac:dyDescent="0.25">
      <c r="A11" s="5" t="s">
        <v>121</v>
      </c>
      <c r="B11" s="5" t="s">
        <v>122</v>
      </c>
      <c r="C11" s="5" t="s">
        <v>123</v>
      </c>
      <c r="D11" s="5">
        <v>7</v>
      </c>
      <c r="E11" s="5" t="s">
        <v>93</v>
      </c>
      <c r="F11" s="5" t="s">
        <v>105</v>
      </c>
      <c r="G11" s="6">
        <v>45977</v>
      </c>
      <c r="H11" t="s">
        <v>306</v>
      </c>
    </row>
    <row r="12" spans="1:8" x14ac:dyDescent="0.25">
      <c r="A12" s="5" t="s">
        <v>124</v>
      </c>
      <c r="B12" s="5" t="s">
        <v>125</v>
      </c>
      <c r="C12" s="5" t="s">
        <v>126</v>
      </c>
      <c r="D12" s="5">
        <v>8</v>
      </c>
      <c r="E12" s="5" t="s">
        <v>93</v>
      </c>
      <c r="F12" s="5" t="s">
        <v>105</v>
      </c>
      <c r="G12" s="6">
        <v>45914</v>
      </c>
      <c r="H12" t="s">
        <v>307</v>
      </c>
    </row>
    <row r="13" spans="1:8" x14ac:dyDescent="0.25">
      <c r="A13" s="5" t="s">
        <v>127</v>
      </c>
      <c r="B13" s="5" t="s">
        <v>128</v>
      </c>
      <c r="C13" s="5" t="s">
        <v>129</v>
      </c>
      <c r="D13" s="5">
        <v>8</v>
      </c>
      <c r="E13" s="5" t="s">
        <v>93</v>
      </c>
      <c r="F13" s="5" t="s">
        <v>99</v>
      </c>
      <c r="G13" s="6">
        <v>45976</v>
      </c>
      <c r="H13" t="s">
        <v>308</v>
      </c>
    </row>
    <row r="14" spans="1:8" x14ac:dyDescent="0.25">
      <c r="A14" s="5" t="s">
        <v>130</v>
      </c>
      <c r="B14" s="5" t="s">
        <v>122</v>
      </c>
      <c r="C14" s="5" t="s">
        <v>131</v>
      </c>
      <c r="D14" s="5">
        <v>6</v>
      </c>
      <c r="E14" s="5" t="s">
        <v>93</v>
      </c>
      <c r="F14" s="5" t="s">
        <v>105</v>
      </c>
      <c r="G14" s="6">
        <v>45918</v>
      </c>
      <c r="H14" t="s">
        <v>309</v>
      </c>
    </row>
    <row r="15" spans="1:8" x14ac:dyDescent="0.25">
      <c r="A15" s="5" t="s">
        <v>132</v>
      </c>
      <c r="B15" s="5" t="s">
        <v>133</v>
      </c>
      <c r="C15" s="5" t="s">
        <v>134</v>
      </c>
      <c r="D15" s="5">
        <v>8</v>
      </c>
      <c r="E15" s="5" t="s">
        <v>93</v>
      </c>
      <c r="F15" s="5" t="s">
        <v>99</v>
      </c>
      <c r="G15" s="6">
        <v>45974</v>
      </c>
      <c r="H15" t="s">
        <v>310</v>
      </c>
    </row>
    <row r="16" spans="1:8" x14ac:dyDescent="0.25">
      <c r="A16" s="5" t="s">
        <v>135</v>
      </c>
      <c r="B16" s="5" t="s">
        <v>125</v>
      </c>
      <c r="C16" s="5" t="s">
        <v>108</v>
      </c>
      <c r="D16" s="5">
        <v>5</v>
      </c>
      <c r="E16" s="5" t="s">
        <v>93</v>
      </c>
      <c r="F16" s="5" t="s">
        <v>105</v>
      </c>
      <c r="G16" s="6">
        <v>45978</v>
      </c>
      <c r="H16" t="s">
        <v>311</v>
      </c>
    </row>
    <row r="17" spans="1:8" x14ac:dyDescent="0.25">
      <c r="A17" s="5" t="s">
        <v>136</v>
      </c>
      <c r="B17" s="5" t="s">
        <v>125</v>
      </c>
      <c r="C17" s="5" t="s">
        <v>123</v>
      </c>
      <c r="D17" s="5">
        <v>8</v>
      </c>
      <c r="E17" s="5" t="s">
        <v>93</v>
      </c>
      <c r="F17" s="5" t="s">
        <v>99</v>
      </c>
      <c r="G17" s="6">
        <v>45926</v>
      </c>
      <c r="H17" t="s">
        <v>312</v>
      </c>
    </row>
    <row r="18" spans="1:8" x14ac:dyDescent="0.25">
      <c r="A18" s="5" t="s">
        <v>137</v>
      </c>
      <c r="B18" s="5" t="s">
        <v>138</v>
      </c>
      <c r="C18" s="5" t="s">
        <v>126</v>
      </c>
      <c r="D18" s="5">
        <v>8</v>
      </c>
      <c r="E18" s="5" t="s">
        <v>93</v>
      </c>
      <c r="F18" s="5" t="s">
        <v>105</v>
      </c>
      <c r="G18" s="6">
        <v>45930</v>
      </c>
      <c r="H18" t="s">
        <v>313</v>
      </c>
    </row>
    <row r="19" spans="1:8" x14ac:dyDescent="0.25">
      <c r="A19" s="5" t="s">
        <v>139</v>
      </c>
      <c r="B19" s="5" t="s">
        <v>140</v>
      </c>
      <c r="C19" s="5" t="s">
        <v>126</v>
      </c>
      <c r="D19" s="5">
        <v>5</v>
      </c>
      <c r="E19" s="5" t="s">
        <v>93</v>
      </c>
      <c r="F19" s="5" t="s">
        <v>105</v>
      </c>
      <c r="G19" s="6">
        <v>45910</v>
      </c>
      <c r="H19" t="s">
        <v>314</v>
      </c>
    </row>
    <row r="20" spans="1:8" x14ac:dyDescent="0.25">
      <c r="A20" s="5" t="s">
        <v>141</v>
      </c>
      <c r="B20" s="5" t="s">
        <v>142</v>
      </c>
      <c r="C20" s="5" t="s">
        <v>126</v>
      </c>
      <c r="D20" s="5">
        <v>6</v>
      </c>
      <c r="E20" s="5" t="s">
        <v>93</v>
      </c>
      <c r="F20" s="5" t="s">
        <v>105</v>
      </c>
      <c r="G20" s="6">
        <v>45938</v>
      </c>
      <c r="H20" t="s">
        <v>315</v>
      </c>
    </row>
    <row r="21" spans="1:8" x14ac:dyDescent="0.25">
      <c r="A21" s="5" t="s">
        <v>143</v>
      </c>
      <c r="B21" s="5" t="s">
        <v>101</v>
      </c>
      <c r="C21" s="5" t="s">
        <v>126</v>
      </c>
      <c r="D21" s="5">
        <v>5</v>
      </c>
      <c r="E21" s="5" t="s">
        <v>93</v>
      </c>
      <c r="F21" s="5" t="s">
        <v>99</v>
      </c>
      <c r="G21" s="6">
        <v>45910</v>
      </c>
      <c r="H21" t="s">
        <v>316</v>
      </c>
    </row>
    <row r="22" spans="1:8" x14ac:dyDescent="0.25">
      <c r="A22" s="5" t="s">
        <v>144</v>
      </c>
      <c r="B22" s="5" t="s">
        <v>101</v>
      </c>
      <c r="C22" s="5" t="s">
        <v>102</v>
      </c>
      <c r="D22" s="5">
        <v>8</v>
      </c>
      <c r="E22" s="5" t="s">
        <v>93</v>
      </c>
      <c r="F22" s="5" t="s">
        <v>105</v>
      </c>
      <c r="G22" s="6">
        <v>45960</v>
      </c>
      <c r="H22" t="s">
        <v>300</v>
      </c>
    </row>
    <row r="23" spans="1:8" x14ac:dyDescent="0.25">
      <c r="A23" s="5" t="s">
        <v>145</v>
      </c>
      <c r="B23" s="5" t="s">
        <v>110</v>
      </c>
      <c r="C23" s="5" t="s">
        <v>112</v>
      </c>
      <c r="D23" s="5">
        <v>6</v>
      </c>
      <c r="E23" s="5" t="s">
        <v>93</v>
      </c>
      <c r="F23" s="5" t="s">
        <v>146</v>
      </c>
      <c r="G23" s="6">
        <v>45962</v>
      </c>
      <c r="H23" t="s">
        <v>317</v>
      </c>
    </row>
    <row r="24" spans="1:8" x14ac:dyDescent="0.25">
      <c r="A24" s="5" t="s">
        <v>147</v>
      </c>
      <c r="B24" s="5" t="s">
        <v>125</v>
      </c>
      <c r="C24" s="5" t="s">
        <v>131</v>
      </c>
      <c r="D24" s="5">
        <v>8</v>
      </c>
      <c r="E24" s="5" t="s">
        <v>93</v>
      </c>
      <c r="F24" s="5" t="s">
        <v>148</v>
      </c>
      <c r="G24" s="6">
        <v>45952</v>
      </c>
      <c r="H24" t="s">
        <v>318</v>
      </c>
    </row>
    <row r="25" spans="1:8" x14ac:dyDescent="0.25">
      <c r="A25" s="5" t="s">
        <v>149</v>
      </c>
      <c r="B25" s="5" t="s">
        <v>96</v>
      </c>
      <c r="C25" s="5" t="s">
        <v>92</v>
      </c>
      <c r="D25" s="5">
        <v>5</v>
      </c>
      <c r="E25" s="5" t="s">
        <v>93</v>
      </c>
      <c r="F25" s="5" t="s">
        <v>105</v>
      </c>
      <c r="G25" s="6">
        <v>45930</v>
      </c>
      <c r="H25" t="s">
        <v>319</v>
      </c>
    </row>
    <row r="26" spans="1:8" x14ac:dyDescent="0.25">
      <c r="A26" s="5" t="s">
        <v>150</v>
      </c>
      <c r="B26" s="5" t="s">
        <v>118</v>
      </c>
      <c r="C26" s="5" t="s">
        <v>126</v>
      </c>
      <c r="D26" s="5">
        <v>5</v>
      </c>
      <c r="E26" s="5" t="s">
        <v>93</v>
      </c>
      <c r="F26" s="5" t="s">
        <v>146</v>
      </c>
      <c r="G26" s="6">
        <v>45943</v>
      </c>
      <c r="H26" t="s">
        <v>320</v>
      </c>
    </row>
    <row r="27" spans="1:8" x14ac:dyDescent="0.25">
      <c r="A27" s="5" t="s">
        <v>151</v>
      </c>
      <c r="B27" s="5" t="s">
        <v>152</v>
      </c>
      <c r="C27" s="5" t="s">
        <v>134</v>
      </c>
      <c r="D27" s="5">
        <v>8</v>
      </c>
      <c r="E27" s="5" t="s">
        <v>93</v>
      </c>
      <c r="F27" s="5" t="s">
        <v>105</v>
      </c>
      <c r="G27" s="6">
        <v>45966</v>
      </c>
      <c r="H27" t="s">
        <v>321</v>
      </c>
    </row>
    <row r="28" spans="1:8" x14ac:dyDescent="0.25">
      <c r="A28" s="5" t="s">
        <v>153</v>
      </c>
      <c r="B28" s="5" t="s">
        <v>110</v>
      </c>
      <c r="C28" s="5" t="s">
        <v>92</v>
      </c>
      <c r="D28" s="5">
        <v>7</v>
      </c>
      <c r="E28" s="5" t="s">
        <v>93</v>
      </c>
      <c r="F28" s="5" t="s">
        <v>105</v>
      </c>
      <c r="G28" s="6">
        <v>45929</v>
      </c>
      <c r="H28" t="s">
        <v>302</v>
      </c>
    </row>
    <row r="29" spans="1:8" x14ac:dyDescent="0.25">
      <c r="A29" s="5" t="s">
        <v>154</v>
      </c>
      <c r="B29" s="5" t="s">
        <v>91</v>
      </c>
      <c r="C29" s="5" t="s">
        <v>97</v>
      </c>
      <c r="D29" s="5">
        <v>7</v>
      </c>
      <c r="E29" s="5" t="s">
        <v>93</v>
      </c>
      <c r="F29" s="5" t="s">
        <v>99</v>
      </c>
      <c r="G29" s="6">
        <v>45965</v>
      </c>
      <c r="H29" t="s">
        <v>322</v>
      </c>
    </row>
    <row r="30" spans="1:8" x14ac:dyDescent="0.25">
      <c r="A30" s="5" t="s">
        <v>155</v>
      </c>
      <c r="B30" s="5" t="s">
        <v>156</v>
      </c>
      <c r="C30" s="5" t="s">
        <v>97</v>
      </c>
      <c r="D30" s="5">
        <v>5</v>
      </c>
      <c r="E30" s="5" t="s">
        <v>93</v>
      </c>
      <c r="F30" s="5" t="s">
        <v>99</v>
      </c>
      <c r="G30" s="6">
        <v>45919</v>
      </c>
      <c r="H30" t="s">
        <v>323</v>
      </c>
    </row>
    <row r="31" spans="1:8" x14ac:dyDescent="0.25">
      <c r="A31" s="5" t="s">
        <v>157</v>
      </c>
      <c r="B31" s="5" t="s">
        <v>91</v>
      </c>
      <c r="C31" s="5" t="s">
        <v>134</v>
      </c>
      <c r="D31" s="5">
        <v>5</v>
      </c>
      <c r="E31" s="5" t="s">
        <v>93</v>
      </c>
      <c r="F31" s="5" t="s">
        <v>99</v>
      </c>
      <c r="G31" s="6">
        <v>45975</v>
      </c>
      <c r="H31" t="s">
        <v>324</v>
      </c>
    </row>
    <row r="32" spans="1:8" x14ac:dyDescent="0.25">
      <c r="A32" s="5" t="s">
        <v>158</v>
      </c>
      <c r="B32" s="5" t="s">
        <v>159</v>
      </c>
      <c r="C32" s="5" t="s">
        <v>112</v>
      </c>
      <c r="D32" s="5">
        <v>7</v>
      </c>
      <c r="E32" s="5" t="s">
        <v>93</v>
      </c>
      <c r="F32" s="5" t="s">
        <v>105</v>
      </c>
      <c r="G32" s="6">
        <v>45935</v>
      </c>
      <c r="H32" t="s">
        <v>325</v>
      </c>
    </row>
    <row r="33" spans="1:8" x14ac:dyDescent="0.25">
      <c r="A33" s="5" t="s">
        <v>160</v>
      </c>
      <c r="B33" s="5" t="s">
        <v>115</v>
      </c>
      <c r="C33" s="5" t="s">
        <v>134</v>
      </c>
      <c r="D33" s="5">
        <v>7</v>
      </c>
      <c r="E33" s="5" t="s">
        <v>93</v>
      </c>
      <c r="F33" s="5" t="s">
        <v>105</v>
      </c>
      <c r="G33" s="6">
        <v>45979</v>
      </c>
      <c r="H33" t="s">
        <v>326</v>
      </c>
    </row>
    <row r="34" spans="1:8" x14ac:dyDescent="0.25">
      <c r="A34" s="5" t="s">
        <v>161</v>
      </c>
      <c r="B34" s="5" t="s">
        <v>162</v>
      </c>
      <c r="C34" s="5" t="s">
        <v>102</v>
      </c>
      <c r="D34" s="5">
        <v>8</v>
      </c>
      <c r="E34" s="5" t="s">
        <v>93</v>
      </c>
      <c r="F34" s="5" t="s">
        <v>99</v>
      </c>
      <c r="G34" s="6">
        <v>45931</v>
      </c>
      <c r="H34" t="s">
        <v>327</v>
      </c>
    </row>
    <row r="35" spans="1:8" x14ac:dyDescent="0.25">
      <c r="A35" s="5" t="s">
        <v>163</v>
      </c>
      <c r="B35" s="5" t="s">
        <v>159</v>
      </c>
      <c r="C35" s="5" t="s">
        <v>134</v>
      </c>
      <c r="D35" s="5">
        <v>8</v>
      </c>
      <c r="E35" s="5" t="s">
        <v>93</v>
      </c>
      <c r="F35" s="5" t="s">
        <v>94</v>
      </c>
      <c r="G35" s="6">
        <v>45915</v>
      </c>
      <c r="H35" t="s">
        <v>328</v>
      </c>
    </row>
    <row r="36" spans="1:8" x14ac:dyDescent="0.25">
      <c r="A36" s="5" t="s">
        <v>164</v>
      </c>
      <c r="B36" s="5" t="s">
        <v>156</v>
      </c>
      <c r="C36" s="5" t="s">
        <v>119</v>
      </c>
      <c r="D36" s="5">
        <v>7</v>
      </c>
      <c r="E36" s="5" t="s">
        <v>93</v>
      </c>
      <c r="F36" s="5" t="s">
        <v>99</v>
      </c>
      <c r="G36" s="6">
        <v>45948</v>
      </c>
      <c r="H36" t="s">
        <v>329</v>
      </c>
    </row>
    <row r="37" spans="1:8" x14ac:dyDescent="0.25">
      <c r="A37" s="5" t="s">
        <v>165</v>
      </c>
      <c r="B37" s="5" t="s">
        <v>122</v>
      </c>
      <c r="C37" s="5" t="s">
        <v>92</v>
      </c>
      <c r="D37" s="5">
        <v>8</v>
      </c>
      <c r="E37" s="5" t="s">
        <v>93</v>
      </c>
      <c r="F37" s="5" t="s">
        <v>105</v>
      </c>
      <c r="G37" s="6">
        <v>45937</v>
      </c>
      <c r="H37" t="s">
        <v>330</v>
      </c>
    </row>
    <row r="38" spans="1:8" x14ac:dyDescent="0.25">
      <c r="A38" s="5" t="s">
        <v>166</v>
      </c>
      <c r="B38" s="5" t="s">
        <v>96</v>
      </c>
      <c r="C38" s="5" t="s">
        <v>123</v>
      </c>
      <c r="D38" s="5">
        <v>8</v>
      </c>
      <c r="E38" s="5" t="s">
        <v>93</v>
      </c>
      <c r="F38" s="5" t="s">
        <v>99</v>
      </c>
      <c r="G38" s="6">
        <v>45908</v>
      </c>
      <c r="H38" t="s">
        <v>331</v>
      </c>
    </row>
    <row r="39" spans="1:8" x14ac:dyDescent="0.25">
      <c r="A39" s="5" t="s">
        <v>167</v>
      </c>
      <c r="B39" s="5" t="s">
        <v>101</v>
      </c>
      <c r="C39" s="5" t="s">
        <v>168</v>
      </c>
      <c r="D39" s="5">
        <v>6</v>
      </c>
      <c r="E39" s="5" t="s">
        <v>93</v>
      </c>
      <c r="F39" s="5" t="s">
        <v>99</v>
      </c>
      <c r="G39" s="6">
        <v>45971</v>
      </c>
      <c r="H39" t="s">
        <v>332</v>
      </c>
    </row>
    <row r="40" spans="1:8" x14ac:dyDescent="0.25">
      <c r="A40" s="5" t="s">
        <v>169</v>
      </c>
      <c r="B40" s="5" t="s">
        <v>91</v>
      </c>
      <c r="C40" s="5" t="s">
        <v>112</v>
      </c>
      <c r="D40" s="5">
        <v>8</v>
      </c>
      <c r="E40" s="5" t="s">
        <v>93</v>
      </c>
      <c r="F40" s="5" t="s">
        <v>105</v>
      </c>
      <c r="G40" s="6">
        <v>45949</v>
      </c>
      <c r="H40" t="s">
        <v>333</v>
      </c>
    </row>
    <row r="41" spans="1:8" x14ac:dyDescent="0.25">
      <c r="A41" s="5" t="s">
        <v>170</v>
      </c>
      <c r="B41" s="5" t="s">
        <v>125</v>
      </c>
      <c r="C41" s="5" t="s">
        <v>134</v>
      </c>
      <c r="D41" s="5">
        <v>5</v>
      </c>
      <c r="E41" s="5" t="s">
        <v>93</v>
      </c>
      <c r="F41" s="5" t="s">
        <v>105</v>
      </c>
      <c r="G41" s="6">
        <v>45927</v>
      </c>
      <c r="H41" t="s">
        <v>334</v>
      </c>
    </row>
    <row r="42" spans="1:8" x14ac:dyDescent="0.25">
      <c r="A42" s="5" t="s">
        <v>171</v>
      </c>
      <c r="B42" s="5" t="s">
        <v>107</v>
      </c>
      <c r="C42" s="5" t="s">
        <v>108</v>
      </c>
      <c r="D42" s="5">
        <v>8</v>
      </c>
      <c r="E42" s="5" t="s">
        <v>93</v>
      </c>
      <c r="F42" s="5" t="s">
        <v>105</v>
      </c>
      <c r="G42" s="6">
        <v>45968</v>
      </c>
      <c r="H42" t="s">
        <v>335</v>
      </c>
    </row>
    <row r="43" spans="1:8" x14ac:dyDescent="0.25">
      <c r="A43" s="5" t="s">
        <v>172</v>
      </c>
      <c r="B43" s="5" t="s">
        <v>101</v>
      </c>
      <c r="C43" s="5" t="s">
        <v>97</v>
      </c>
      <c r="D43" s="5">
        <v>8</v>
      </c>
      <c r="E43" s="5" t="s">
        <v>93</v>
      </c>
      <c r="F43" s="5" t="s">
        <v>105</v>
      </c>
      <c r="G43" s="6">
        <v>45912</v>
      </c>
      <c r="H43" t="s">
        <v>336</v>
      </c>
    </row>
    <row r="44" spans="1:8" x14ac:dyDescent="0.25">
      <c r="A44" s="5" t="s">
        <v>173</v>
      </c>
      <c r="B44" s="5" t="s">
        <v>118</v>
      </c>
      <c r="C44" s="5" t="s">
        <v>119</v>
      </c>
      <c r="D44" s="5">
        <v>7</v>
      </c>
      <c r="E44" s="5" t="s">
        <v>93</v>
      </c>
      <c r="F44" s="5" t="s">
        <v>105</v>
      </c>
      <c r="G44" s="6">
        <v>45958</v>
      </c>
      <c r="H44" t="s">
        <v>337</v>
      </c>
    </row>
    <row r="45" spans="1:8" x14ac:dyDescent="0.25">
      <c r="A45" s="5" t="s">
        <v>174</v>
      </c>
      <c r="B45" s="5" t="s">
        <v>162</v>
      </c>
      <c r="C45" s="5" t="s">
        <v>131</v>
      </c>
      <c r="D45" s="5">
        <v>5</v>
      </c>
      <c r="E45" s="5" t="s">
        <v>93</v>
      </c>
      <c r="F45" s="5" t="s">
        <v>105</v>
      </c>
      <c r="G45" s="6">
        <v>45932</v>
      </c>
      <c r="H45" t="s">
        <v>338</v>
      </c>
    </row>
    <row r="46" spans="1:8" x14ac:dyDescent="0.25">
      <c r="A46" s="5" t="s">
        <v>175</v>
      </c>
      <c r="B46" s="5" t="s">
        <v>138</v>
      </c>
      <c r="C46" s="5" t="s">
        <v>126</v>
      </c>
      <c r="D46" s="5">
        <v>8</v>
      </c>
      <c r="E46" s="5" t="s">
        <v>93</v>
      </c>
      <c r="F46" s="5" t="s">
        <v>105</v>
      </c>
      <c r="G46" s="6">
        <v>45907</v>
      </c>
      <c r="H46" t="s">
        <v>313</v>
      </c>
    </row>
    <row r="47" spans="1:8" x14ac:dyDescent="0.25">
      <c r="A47" s="5" t="s">
        <v>176</v>
      </c>
      <c r="B47" s="5" t="s">
        <v>115</v>
      </c>
      <c r="C47" s="5" t="s">
        <v>168</v>
      </c>
      <c r="D47" s="5">
        <v>8</v>
      </c>
      <c r="E47" s="5" t="s">
        <v>93</v>
      </c>
      <c r="F47" s="5" t="s">
        <v>105</v>
      </c>
      <c r="G47" s="6">
        <v>45935</v>
      </c>
      <c r="H47" t="s">
        <v>339</v>
      </c>
    </row>
    <row r="48" spans="1:8" x14ac:dyDescent="0.25">
      <c r="A48" s="5" t="s">
        <v>177</v>
      </c>
      <c r="B48" s="5" t="s">
        <v>159</v>
      </c>
      <c r="C48" s="5" t="s">
        <v>112</v>
      </c>
      <c r="D48" s="5">
        <v>6</v>
      </c>
      <c r="E48" s="5" t="s">
        <v>98</v>
      </c>
      <c r="F48" s="5" t="s">
        <v>146</v>
      </c>
      <c r="G48" s="6">
        <v>45967</v>
      </c>
      <c r="H48" t="s">
        <v>325</v>
      </c>
    </row>
    <row r="49" spans="1:8" x14ac:dyDescent="0.25">
      <c r="A49" s="5" t="s">
        <v>178</v>
      </c>
      <c r="B49" s="5" t="s">
        <v>107</v>
      </c>
      <c r="C49" s="5" t="s">
        <v>123</v>
      </c>
      <c r="D49" s="5">
        <v>8</v>
      </c>
      <c r="E49" s="5" t="s">
        <v>93</v>
      </c>
      <c r="F49" s="5" t="s">
        <v>94</v>
      </c>
      <c r="G49" s="6">
        <v>45920</v>
      </c>
      <c r="H49" t="s">
        <v>340</v>
      </c>
    </row>
    <row r="50" spans="1:8" x14ac:dyDescent="0.25">
      <c r="A50" s="5" t="s">
        <v>179</v>
      </c>
      <c r="B50" s="5" t="s">
        <v>115</v>
      </c>
      <c r="C50" s="5" t="s">
        <v>168</v>
      </c>
      <c r="D50" s="5">
        <v>8</v>
      </c>
      <c r="E50" s="5" t="s">
        <v>93</v>
      </c>
      <c r="F50" s="5" t="s">
        <v>105</v>
      </c>
      <c r="G50" s="6">
        <v>45951</v>
      </c>
      <c r="H50" t="s">
        <v>339</v>
      </c>
    </row>
    <row r="51" spans="1:8" x14ac:dyDescent="0.25">
      <c r="A51" s="5" t="s">
        <v>180</v>
      </c>
      <c r="B51" s="5" t="s">
        <v>122</v>
      </c>
      <c r="C51" s="5" t="s">
        <v>134</v>
      </c>
      <c r="D51" s="5">
        <v>6</v>
      </c>
      <c r="E51" s="5" t="s">
        <v>93</v>
      </c>
      <c r="F51" s="5" t="s">
        <v>146</v>
      </c>
      <c r="G51" s="6">
        <v>45913</v>
      </c>
      <c r="H51" t="s">
        <v>341</v>
      </c>
    </row>
    <row r="52" spans="1:8" x14ac:dyDescent="0.25">
      <c r="A52" s="5" t="s">
        <v>181</v>
      </c>
      <c r="B52" s="5" t="s">
        <v>128</v>
      </c>
      <c r="C52" s="5" t="s">
        <v>102</v>
      </c>
      <c r="D52" s="5">
        <v>7</v>
      </c>
      <c r="E52" s="5" t="s">
        <v>93</v>
      </c>
      <c r="F52" s="5" t="s">
        <v>99</v>
      </c>
      <c r="G52" s="6">
        <v>45928</v>
      </c>
      <c r="H52" t="s">
        <v>342</v>
      </c>
    </row>
    <row r="53" spans="1:8" x14ac:dyDescent="0.25">
      <c r="A53" s="5" t="s">
        <v>182</v>
      </c>
      <c r="B53" s="5" t="s">
        <v>140</v>
      </c>
      <c r="C53" s="5" t="s">
        <v>97</v>
      </c>
      <c r="D53" s="5">
        <v>8</v>
      </c>
      <c r="E53" s="5" t="s">
        <v>93</v>
      </c>
      <c r="F53" s="5" t="s">
        <v>105</v>
      </c>
      <c r="G53" s="6">
        <v>45965</v>
      </c>
      <c r="H53" t="s">
        <v>343</v>
      </c>
    </row>
    <row r="54" spans="1:8" x14ac:dyDescent="0.25">
      <c r="A54" s="5" t="s">
        <v>183</v>
      </c>
      <c r="B54" s="5" t="s">
        <v>115</v>
      </c>
      <c r="C54" s="5" t="s">
        <v>97</v>
      </c>
      <c r="D54" s="5">
        <v>6</v>
      </c>
      <c r="E54" s="5" t="s">
        <v>93</v>
      </c>
      <c r="F54" s="5" t="s">
        <v>105</v>
      </c>
      <c r="G54" s="6">
        <v>45961</v>
      </c>
      <c r="H54" t="s">
        <v>344</v>
      </c>
    </row>
    <row r="55" spans="1:8" x14ac:dyDescent="0.25">
      <c r="A55" s="5" t="s">
        <v>184</v>
      </c>
      <c r="B55" s="5" t="s">
        <v>159</v>
      </c>
      <c r="C55" s="5" t="s">
        <v>131</v>
      </c>
      <c r="D55" s="5">
        <v>5</v>
      </c>
      <c r="E55" s="5" t="s">
        <v>93</v>
      </c>
      <c r="F55" s="5" t="s">
        <v>105</v>
      </c>
      <c r="G55" s="6">
        <v>45929</v>
      </c>
      <c r="H55" t="s">
        <v>345</v>
      </c>
    </row>
    <row r="56" spans="1:8" x14ac:dyDescent="0.25">
      <c r="A56" s="5" t="s">
        <v>185</v>
      </c>
      <c r="B56" s="5" t="s">
        <v>125</v>
      </c>
      <c r="C56" s="5" t="s">
        <v>102</v>
      </c>
      <c r="D56" s="5">
        <v>7</v>
      </c>
      <c r="E56" s="5" t="s">
        <v>93</v>
      </c>
      <c r="F56" s="5" t="s">
        <v>105</v>
      </c>
      <c r="G56" s="6">
        <v>45951</v>
      </c>
      <c r="H56" t="s">
        <v>346</v>
      </c>
    </row>
    <row r="57" spans="1:8" x14ac:dyDescent="0.25">
      <c r="A57" s="5" t="s">
        <v>186</v>
      </c>
      <c r="B57" s="5" t="s">
        <v>122</v>
      </c>
      <c r="C57" s="5" t="s">
        <v>126</v>
      </c>
      <c r="D57" s="5">
        <v>5</v>
      </c>
      <c r="E57" s="5" t="s">
        <v>93</v>
      </c>
      <c r="F57" s="5" t="s">
        <v>99</v>
      </c>
      <c r="G57" s="6">
        <v>45979</v>
      </c>
      <c r="H57" t="s">
        <v>347</v>
      </c>
    </row>
    <row r="58" spans="1:8" x14ac:dyDescent="0.25">
      <c r="A58" s="5" t="s">
        <v>187</v>
      </c>
      <c r="B58" s="5" t="s">
        <v>140</v>
      </c>
      <c r="C58" s="5" t="s">
        <v>92</v>
      </c>
      <c r="D58" s="5">
        <v>5</v>
      </c>
      <c r="E58" s="5" t="s">
        <v>98</v>
      </c>
      <c r="F58" s="5" t="s">
        <v>99</v>
      </c>
      <c r="G58" s="6">
        <v>45935</v>
      </c>
      <c r="H58" t="s">
        <v>348</v>
      </c>
    </row>
    <row r="59" spans="1:8" x14ac:dyDescent="0.25">
      <c r="A59" s="5" t="s">
        <v>188</v>
      </c>
      <c r="B59" s="5" t="s">
        <v>115</v>
      </c>
      <c r="C59" s="5" t="s">
        <v>129</v>
      </c>
      <c r="D59" s="5">
        <v>6</v>
      </c>
      <c r="E59" s="5" t="s">
        <v>93</v>
      </c>
      <c r="F59" s="5" t="s">
        <v>105</v>
      </c>
      <c r="G59" s="6">
        <v>45903</v>
      </c>
      <c r="H59" t="s">
        <v>349</v>
      </c>
    </row>
    <row r="60" spans="1:8" x14ac:dyDescent="0.25">
      <c r="A60" s="5" t="s">
        <v>189</v>
      </c>
      <c r="B60" s="5" t="s">
        <v>162</v>
      </c>
      <c r="C60" s="5" t="s">
        <v>119</v>
      </c>
      <c r="D60" s="5">
        <v>8</v>
      </c>
      <c r="E60" s="5" t="s">
        <v>93</v>
      </c>
      <c r="F60" s="5" t="s">
        <v>146</v>
      </c>
      <c r="G60" s="6">
        <v>45923</v>
      </c>
      <c r="H60" t="s">
        <v>350</v>
      </c>
    </row>
    <row r="61" spans="1:8" x14ac:dyDescent="0.25">
      <c r="A61" s="5" t="s">
        <v>190</v>
      </c>
      <c r="B61" s="5" t="s">
        <v>142</v>
      </c>
      <c r="C61" s="5" t="s">
        <v>97</v>
      </c>
      <c r="D61" s="5">
        <v>6</v>
      </c>
      <c r="E61" s="5" t="s">
        <v>93</v>
      </c>
      <c r="F61" s="5" t="s">
        <v>94</v>
      </c>
      <c r="G61" s="6">
        <v>45957</v>
      </c>
      <c r="H61" t="s">
        <v>351</v>
      </c>
    </row>
    <row r="62" spans="1:8" x14ac:dyDescent="0.25">
      <c r="A62" s="5" t="s">
        <v>191</v>
      </c>
      <c r="B62" s="5" t="s">
        <v>101</v>
      </c>
      <c r="C62" s="5" t="s">
        <v>108</v>
      </c>
      <c r="D62" s="5">
        <v>6</v>
      </c>
      <c r="E62" s="5" t="s">
        <v>93</v>
      </c>
      <c r="F62" s="5" t="s">
        <v>105</v>
      </c>
      <c r="G62" s="6">
        <v>45908</v>
      </c>
      <c r="H62" t="s">
        <v>352</v>
      </c>
    </row>
    <row r="63" spans="1:8" x14ac:dyDescent="0.25">
      <c r="A63" s="5" t="s">
        <v>192</v>
      </c>
      <c r="B63" s="5" t="s">
        <v>107</v>
      </c>
      <c r="C63" s="5" t="s">
        <v>97</v>
      </c>
      <c r="D63" s="5">
        <v>6</v>
      </c>
      <c r="E63" s="5" t="s">
        <v>93</v>
      </c>
      <c r="F63" s="5" t="s">
        <v>146</v>
      </c>
      <c r="G63" s="6">
        <v>45971</v>
      </c>
      <c r="H63" t="s">
        <v>353</v>
      </c>
    </row>
    <row r="64" spans="1:8" x14ac:dyDescent="0.25">
      <c r="A64" s="5" t="s">
        <v>193</v>
      </c>
      <c r="B64" s="5" t="s">
        <v>162</v>
      </c>
      <c r="C64" s="5" t="s">
        <v>168</v>
      </c>
      <c r="D64" s="5">
        <v>6</v>
      </c>
      <c r="E64" s="5" t="s">
        <v>93</v>
      </c>
      <c r="F64" s="5" t="s">
        <v>146</v>
      </c>
      <c r="G64" s="6">
        <v>45907</v>
      </c>
      <c r="H64" t="s">
        <v>354</v>
      </c>
    </row>
    <row r="65" spans="1:8" x14ac:dyDescent="0.25">
      <c r="A65" s="5" t="s">
        <v>194</v>
      </c>
      <c r="B65" s="5" t="s">
        <v>107</v>
      </c>
      <c r="C65" s="5" t="s">
        <v>97</v>
      </c>
      <c r="D65" s="5">
        <v>7</v>
      </c>
      <c r="E65" s="5" t="s">
        <v>93</v>
      </c>
      <c r="F65" s="5" t="s">
        <v>146</v>
      </c>
      <c r="G65" s="6">
        <v>45905</v>
      </c>
      <c r="H65" t="s">
        <v>353</v>
      </c>
    </row>
    <row r="66" spans="1:8" x14ac:dyDescent="0.25">
      <c r="A66" s="5" t="s">
        <v>195</v>
      </c>
      <c r="B66" s="5" t="s">
        <v>142</v>
      </c>
      <c r="C66" s="5" t="s">
        <v>112</v>
      </c>
      <c r="D66" s="5">
        <v>8</v>
      </c>
      <c r="E66" s="5" t="s">
        <v>98</v>
      </c>
      <c r="F66" s="5" t="s">
        <v>105</v>
      </c>
      <c r="G66" s="6">
        <v>45955</v>
      </c>
      <c r="H66" t="s">
        <v>355</v>
      </c>
    </row>
    <row r="67" spans="1:8" x14ac:dyDescent="0.25">
      <c r="A67" s="5" t="s">
        <v>196</v>
      </c>
      <c r="B67" s="5" t="s">
        <v>197</v>
      </c>
      <c r="C67" s="5" t="s">
        <v>97</v>
      </c>
      <c r="D67" s="5">
        <v>5</v>
      </c>
      <c r="E67" s="5" t="s">
        <v>93</v>
      </c>
      <c r="F67" s="5" t="s">
        <v>99</v>
      </c>
      <c r="G67" s="6">
        <v>45925</v>
      </c>
      <c r="H67" t="s">
        <v>356</v>
      </c>
    </row>
    <row r="68" spans="1:8" x14ac:dyDescent="0.25">
      <c r="A68" s="5" t="s">
        <v>198</v>
      </c>
      <c r="B68" s="5" t="s">
        <v>159</v>
      </c>
      <c r="C68" s="5" t="s">
        <v>129</v>
      </c>
      <c r="D68" s="5">
        <v>5</v>
      </c>
      <c r="E68" s="5" t="s">
        <v>93</v>
      </c>
      <c r="F68" s="5" t="s">
        <v>105</v>
      </c>
      <c r="G68" s="6">
        <v>45955</v>
      </c>
      <c r="H68" t="s">
        <v>357</v>
      </c>
    </row>
    <row r="69" spans="1:8" x14ac:dyDescent="0.25">
      <c r="A69" s="5" t="s">
        <v>199</v>
      </c>
      <c r="B69" s="5" t="s">
        <v>101</v>
      </c>
      <c r="C69" s="5" t="s">
        <v>129</v>
      </c>
      <c r="D69" s="5">
        <v>8</v>
      </c>
      <c r="E69" s="5" t="s">
        <v>93</v>
      </c>
      <c r="F69" s="5" t="s">
        <v>99</v>
      </c>
      <c r="G69" s="6">
        <v>45939</v>
      </c>
      <c r="H69" t="s">
        <v>358</v>
      </c>
    </row>
    <row r="70" spans="1:8" x14ac:dyDescent="0.25">
      <c r="A70" s="5" t="s">
        <v>200</v>
      </c>
      <c r="B70" s="5" t="s">
        <v>197</v>
      </c>
      <c r="C70" s="5" t="s">
        <v>126</v>
      </c>
      <c r="D70" s="5">
        <v>5</v>
      </c>
      <c r="E70" s="5" t="s">
        <v>93</v>
      </c>
      <c r="F70" s="5" t="s">
        <v>146</v>
      </c>
      <c r="G70" s="6">
        <v>45976</v>
      </c>
      <c r="H70" t="s">
        <v>359</v>
      </c>
    </row>
    <row r="71" spans="1:8" x14ac:dyDescent="0.25">
      <c r="A71" s="5" t="s">
        <v>201</v>
      </c>
      <c r="B71" s="5" t="s">
        <v>156</v>
      </c>
      <c r="C71" s="5" t="s">
        <v>123</v>
      </c>
      <c r="D71" s="5">
        <v>8</v>
      </c>
      <c r="E71" s="5" t="s">
        <v>93</v>
      </c>
      <c r="F71" s="5" t="s">
        <v>99</v>
      </c>
      <c r="G71" s="6">
        <v>45976</v>
      </c>
      <c r="H71" t="s">
        <v>360</v>
      </c>
    </row>
    <row r="72" spans="1:8" x14ac:dyDescent="0.25">
      <c r="A72" s="5" t="s">
        <v>202</v>
      </c>
      <c r="B72" s="5" t="s">
        <v>101</v>
      </c>
      <c r="C72" s="5" t="s">
        <v>92</v>
      </c>
      <c r="D72" s="5">
        <v>5</v>
      </c>
      <c r="E72" s="5" t="s">
        <v>93</v>
      </c>
      <c r="F72" s="5" t="s">
        <v>94</v>
      </c>
      <c r="G72" s="6">
        <v>45919</v>
      </c>
      <c r="H72" t="s">
        <v>361</v>
      </c>
    </row>
    <row r="73" spans="1:8" x14ac:dyDescent="0.25">
      <c r="A73" s="5" t="s">
        <v>203</v>
      </c>
      <c r="B73" s="5" t="s">
        <v>197</v>
      </c>
      <c r="C73" s="5" t="s">
        <v>108</v>
      </c>
      <c r="D73" s="5">
        <v>6</v>
      </c>
      <c r="E73" s="5" t="s">
        <v>93</v>
      </c>
      <c r="F73" s="5" t="s">
        <v>94</v>
      </c>
      <c r="G73" s="6">
        <v>45980</v>
      </c>
      <c r="H73" t="s">
        <v>362</v>
      </c>
    </row>
    <row r="74" spans="1:8" x14ac:dyDescent="0.25">
      <c r="A74" s="5" t="s">
        <v>204</v>
      </c>
      <c r="B74" s="5" t="s">
        <v>133</v>
      </c>
      <c r="C74" s="5" t="s">
        <v>97</v>
      </c>
      <c r="D74" s="5">
        <v>5</v>
      </c>
      <c r="E74" s="5" t="s">
        <v>93</v>
      </c>
      <c r="F74" s="5" t="s">
        <v>94</v>
      </c>
      <c r="G74" s="6">
        <v>45975</v>
      </c>
      <c r="H74" t="s">
        <v>363</v>
      </c>
    </row>
    <row r="75" spans="1:8" x14ac:dyDescent="0.25">
      <c r="A75" s="5" t="s">
        <v>205</v>
      </c>
      <c r="B75" s="5" t="s">
        <v>91</v>
      </c>
      <c r="C75" s="5" t="s">
        <v>97</v>
      </c>
      <c r="D75" s="5">
        <v>8</v>
      </c>
      <c r="E75" s="5" t="s">
        <v>93</v>
      </c>
      <c r="F75" s="5" t="s">
        <v>105</v>
      </c>
      <c r="G75" s="6">
        <v>45903</v>
      </c>
      <c r="H75" t="s">
        <v>322</v>
      </c>
    </row>
    <row r="76" spans="1:8" x14ac:dyDescent="0.25">
      <c r="A76" s="5" t="s">
        <v>206</v>
      </c>
      <c r="B76" s="5" t="s">
        <v>156</v>
      </c>
      <c r="C76" s="5" t="s">
        <v>119</v>
      </c>
      <c r="D76" s="5">
        <v>8</v>
      </c>
      <c r="E76" s="5" t="s">
        <v>93</v>
      </c>
      <c r="F76" s="5" t="s">
        <v>105</v>
      </c>
      <c r="G76" s="6">
        <v>45953</v>
      </c>
      <c r="H76" t="s">
        <v>329</v>
      </c>
    </row>
    <row r="77" spans="1:8" x14ac:dyDescent="0.25">
      <c r="A77" s="5" t="s">
        <v>207</v>
      </c>
      <c r="B77" s="5" t="s">
        <v>133</v>
      </c>
      <c r="C77" s="5" t="s">
        <v>129</v>
      </c>
      <c r="D77" s="5">
        <v>8</v>
      </c>
      <c r="E77" s="5" t="s">
        <v>93</v>
      </c>
      <c r="F77" s="5" t="s">
        <v>105</v>
      </c>
      <c r="G77" s="6">
        <v>45947</v>
      </c>
      <c r="H77" t="s">
        <v>364</v>
      </c>
    </row>
    <row r="78" spans="1:8" x14ac:dyDescent="0.25">
      <c r="A78" s="5" t="s">
        <v>208</v>
      </c>
      <c r="B78" s="5" t="s">
        <v>125</v>
      </c>
      <c r="C78" s="5" t="s">
        <v>108</v>
      </c>
      <c r="D78" s="5">
        <v>8</v>
      </c>
      <c r="E78" s="5" t="s">
        <v>93</v>
      </c>
      <c r="F78" s="5" t="s">
        <v>94</v>
      </c>
      <c r="G78" s="6">
        <v>45979</v>
      </c>
      <c r="H78" t="s">
        <v>311</v>
      </c>
    </row>
    <row r="79" spans="1:8" x14ac:dyDescent="0.25">
      <c r="A79" s="5" t="s">
        <v>209</v>
      </c>
      <c r="B79" s="5" t="s">
        <v>107</v>
      </c>
      <c r="C79" s="5" t="s">
        <v>126</v>
      </c>
      <c r="D79" s="5">
        <v>8</v>
      </c>
      <c r="E79" s="5" t="s">
        <v>93</v>
      </c>
      <c r="F79" s="5" t="s">
        <v>105</v>
      </c>
      <c r="G79" s="6">
        <v>45906</v>
      </c>
      <c r="H79" t="s">
        <v>365</v>
      </c>
    </row>
    <row r="80" spans="1:8" x14ac:dyDescent="0.25">
      <c r="A80" s="5" t="s">
        <v>210</v>
      </c>
      <c r="B80" s="5" t="s">
        <v>104</v>
      </c>
      <c r="C80" s="5" t="s">
        <v>131</v>
      </c>
      <c r="D80" s="5">
        <v>7</v>
      </c>
      <c r="E80" s="5" t="s">
        <v>93</v>
      </c>
      <c r="F80" s="5" t="s">
        <v>105</v>
      </c>
      <c r="G80" s="6">
        <v>45964</v>
      </c>
      <c r="H80" t="s">
        <v>366</v>
      </c>
    </row>
    <row r="81" spans="1:8" x14ac:dyDescent="0.25">
      <c r="A81" s="5" t="s">
        <v>211</v>
      </c>
      <c r="B81" s="5" t="s">
        <v>110</v>
      </c>
      <c r="C81" s="5" t="s">
        <v>123</v>
      </c>
      <c r="D81" s="5">
        <v>7</v>
      </c>
      <c r="E81" s="5" t="s">
        <v>93</v>
      </c>
      <c r="F81" s="5" t="s">
        <v>105</v>
      </c>
      <c r="G81" s="6">
        <v>45967</v>
      </c>
      <c r="H81" t="s">
        <v>367</v>
      </c>
    </row>
    <row r="82" spans="1:8" x14ac:dyDescent="0.25">
      <c r="A82" s="5" t="s">
        <v>212</v>
      </c>
      <c r="B82" s="5" t="s">
        <v>138</v>
      </c>
      <c r="C82" s="5" t="s">
        <v>92</v>
      </c>
      <c r="D82" s="5">
        <v>5</v>
      </c>
      <c r="E82" s="5" t="s">
        <v>93</v>
      </c>
      <c r="F82" s="5" t="s">
        <v>99</v>
      </c>
      <c r="G82" s="6">
        <v>45934</v>
      </c>
      <c r="H82" t="s">
        <v>368</v>
      </c>
    </row>
    <row r="83" spans="1:8" x14ac:dyDescent="0.25">
      <c r="A83" s="5" t="s">
        <v>213</v>
      </c>
      <c r="B83" s="5" t="s">
        <v>107</v>
      </c>
      <c r="C83" s="5" t="s">
        <v>102</v>
      </c>
      <c r="D83" s="5">
        <v>8</v>
      </c>
      <c r="E83" s="5" t="s">
        <v>93</v>
      </c>
      <c r="F83" s="5" t="s">
        <v>94</v>
      </c>
      <c r="G83" s="6">
        <v>45936</v>
      </c>
      <c r="H83" t="s">
        <v>369</v>
      </c>
    </row>
    <row r="84" spans="1:8" x14ac:dyDescent="0.25">
      <c r="A84" s="5" t="s">
        <v>214</v>
      </c>
      <c r="B84" s="5" t="s">
        <v>118</v>
      </c>
      <c r="C84" s="5" t="s">
        <v>92</v>
      </c>
      <c r="D84" s="5">
        <v>5</v>
      </c>
      <c r="E84" s="5" t="s">
        <v>93</v>
      </c>
      <c r="F84" s="5" t="s">
        <v>94</v>
      </c>
      <c r="G84" s="6">
        <v>45974</v>
      </c>
      <c r="H84" t="s">
        <v>370</v>
      </c>
    </row>
    <row r="85" spans="1:8" x14ac:dyDescent="0.25">
      <c r="A85" s="5" t="s">
        <v>215</v>
      </c>
      <c r="B85" s="5" t="s">
        <v>118</v>
      </c>
      <c r="C85" s="5" t="s">
        <v>112</v>
      </c>
      <c r="D85" s="5">
        <v>8</v>
      </c>
      <c r="E85" s="5" t="s">
        <v>93</v>
      </c>
      <c r="F85" s="5" t="s">
        <v>105</v>
      </c>
      <c r="G85" s="6">
        <v>45941</v>
      </c>
      <c r="H85" t="s">
        <v>371</v>
      </c>
    </row>
    <row r="86" spans="1:8" x14ac:dyDescent="0.25">
      <c r="A86" s="5" t="s">
        <v>216</v>
      </c>
      <c r="B86" s="5" t="s">
        <v>133</v>
      </c>
      <c r="C86" s="5" t="s">
        <v>168</v>
      </c>
      <c r="D86" s="5">
        <v>8</v>
      </c>
      <c r="E86" s="5" t="s">
        <v>93</v>
      </c>
      <c r="F86" s="5" t="s">
        <v>94</v>
      </c>
      <c r="G86" s="6">
        <v>45928</v>
      </c>
      <c r="H86" t="s">
        <v>372</v>
      </c>
    </row>
    <row r="87" spans="1:8" x14ac:dyDescent="0.25">
      <c r="A87" s="5" t="s">
        <v>217</v>
      </c>
      <c r="B87" s="5" t="s">
        <v>152</v>
      </c>
      <c r="C87" s="5" t="s">
        <v>112</v>
      </c>
      <c r="D87" s="5">
        <v>7</v>
      </c>
      <c r="E87" s="5" t="s">
        <v>93</v>
      </c>
      <c r="F87" s="5" t="s">
        <v>99</v>
      </c>
      <c r="G87" s="6">
        <v>45936</v>
      </c>
      <c r="H87" t="s">
        <v>373</v>
      </c>
    </row>
    <row r="88" spans="1:8" x14ac:dyDescent="0.25">
      <c r="A88" s="5" t="s">
        <v>218</v>
      </c>
      <c r="B88" s="5" t="s">
        <v>140</v>
      </c>
      <c r="C88" s="5" t="s">
        <v>97</v>
      </c>
      <c r="D88" s="5">
        <v>7</v>
      </c>
      <c r="E88" s="5" t="s">
        <v>93</v>
      </c>
      <c r="F88" s="5" t="s">
        <v>105</v>
      </c>
      <c r="G88" s="6">
        <v>45956</v>
      </c>
      <c r="H88" t="s">
        <v>343</v>
      </c>
    </row>
    <row r="89" spans="1:8" x14ac:dyDescent="0.25">
      <c r="A89" s="5" t="s">
        <v>219</v>
      </c>
      <c r="B89" s="5" t="s">
        <v>91</v>
      </c>
      <c r="C89" s="5" t="s">
        <v>123</v>
      </c>
      <c r="D89" s="5">
        <v>6</v>
      </c>
      <c r="E89" s="5" t="s">
        <v>93</v>
      </c>
      <c r="F89" s="5" t="s">
        <v>99</v>
      </c>
      <c r="G89" s="6">
        <v>45905</v>
      </c>
      <c r="H89" t="s">
        <v>374</v>
      </c>
    </row>
    <row r="90" spans="1:8" x14ac:dyDescent="0.25">
      <c r="A90" s="5" t="s">
        <v>220</v>
      </c>
      <c r="B90" s="5" t="s">
        <v>156</v>
      </c>
      <c r="C90" s="5" t="s">
        <v>168</v>
      </c>
      <c r="D90" s="5">
        <v>7</v>
      </c>
      <c r="E90" s="5" t="s">
        <v>93</v>
      </c>
      <c r="F90" s="5" t="s">
        <v>105</v>
      </c>
      <c r="G90" s="6">
        <v>45952</v>
      </c>
      <c r="H90" t="s">
        <v>375</v>
      </c>
    </row>
    <row r="91" spans="1:8" x14ac:dyDescent="0.25">
      <c r="A91" s="5" t="s">
        <v>221</v>
      </c>
      <c r="B91" s="5" t="s">
        <v>91</v>
      </c>
      <c r="C91" s="5" t="s">
        <v>108</v>
      </c>
      <c r="D91" s="5">
        <v>6</v>
      </c>
      <c r="E91" s="5" t="s">
        <v>93</v>
      </c>
      <c r="F91" s="5" t="s">
        <v>105</v>
      </c>
      <c r="G91" s="6">
        <v>45914</v>
      </c>
      <c r="H91" t="s">
        <v>376</v>
      </c>
    </row>
    <row r="92" spans="1:8" x14ac:dyDescent="0.25">
      <c r="A92" s="5" t="s">
        <v>222</v>
      </c>
      <c r="B92" s="5" t="s">
        <v>156</v>
      </c>
      <c r="C92" s="5" t="s">
        <v>102</v>
      </c>
      <c r="D92" s="5">
        <v>6</v>
      </c>
      <c r="E92" s="5" t="s">
        <v>93</v>
      </c>
      <c r="F92" s="5" t="s">
        <v>99</v>
      </c>
      <c r="G92" s="6">
        <v>45967</v>
      </c>
      <c r="H92" t="s">
        <v>377</v>
      </c>
    </row>
    <row r="93" spans="1:8" x14ac:dyDescent="0.25">
      <c r="A93" s="5" t="s">
        <v>223</v>
      </c>
      <c r="B93" s="5" t="s">
        <v>107</v>
      </c>
      <c r="C93" s="5" t="s">
        <v>129</v>
      </c>
      <c r="D93" s="5">
        <v>6</v>
      </c>
      <c r="E93" s="5" t="s">
        <v>93</v>
      </c>
      <c r="F93" s="5" t="s">
        <v>105</v>
      </c>
      <c r="G93" s="6">
        <v>45956</v>
      </c>
      <c r="H93" t="s">
        <v>378</v>
      </c>
    </row>
    <row r="94" spans="1:8" x14ac:dyDescent="0.25">
      <c r="A94" s="5" t="s">
        <v>224</v>
      </c>
      <c r="B94" s="5" t="s">
        <v>125</v>
      </c>
      <c r="C94" s="5" t="s">
        <v>123</v>
      </c>
      <c r="D94" s="5">
        <v>6</v>
      </c>
      <c r="E94" s="5" t="s">
        <v>93</v>
      </c>
      <c r="F94" s="5" t="s">
        <v>105</v>
      </c>
      <c r="G94" s="6">
        <v>45907</v>
      </c>
      <c r="H94" t="s">
        <v>312</v>
      </c>
    </row>
    <row r="95" spans="1:8" x14ac:dyDescent="0.25">
      <c r="A95" s="5" t="s">
        <v>225</v>
      </c>
      <c r="B95" s="5" t="s">
        <v>122</v>
      </c>
      <c r="C95" s="5" t="s">
        <v>123</v>
      </c>
      <c r="D95" s="5">
        <v>6</v>
      </c>
      <c r="E95" s="5" t="s">
        <v>93</v>
      </c>
      <c r="F95" s="5" t="s">
        <v>105</v>
      </c>
      <c r="G95" s="6">
        <v>45959</v>
      </c>
      <c r="H95" t="s">
        <v>306</v>
      </c>
    </row>
    <row r="96" spans="1:8" x14ac:dyDescent="0.25">
      <c r="A96" s="5" t="s">
        <v>226</v>
      </c>
      <c r="B96" s="5" t="s">
        <v>133</v>
      </c>
      <c r="C96" s="5" t="s">
        <v>112</v>
      </c>
      <c r="D96" s="5">
        <v>5</v>
      </c>
      <c r="E96" s="5" t="s">
        <v>93</v>
      </c>
      <c r="F96" s="5" t="s">
        <v>105</v>
      </c>
      <c r="G96" s="6">
        <v>45919</v>
      </c>
      <c r="H96" t="s">
        <v>379</v>
      </c>
    </row>
    <row r="97" spans="1:8" x14ac:dyDescent="0.25">
      <c r="A97" s="5" t="s">
        <v>227</v>
      </c>
      <c r="B97" s="5" t="s">
        <v>142</v>
      </c>
      <c r="C97" s="5" t="s">
        <v>97</v>
      </c>
      <c r="D97" s="5">
        <v>7</v>
      </c>
      <c r="E97" s="5" t="s">
        <v>98</v>
      </c>
      <c r="F97" s="5" t="s">
        <v>105</v>
      </c>
      <c r="G97" s="6">
        <v>45949</v>
      </c>
      <c r="H97" t="s">
        <v>351</v>
      </c>
    </row>
    <row r="98" spans="1:8" x14ac:dyDescent="0.25">
      <c r="A98" s="5" t="s">
        <v>228</v>
      </c>
      <c r="B98" s="5" t="s">
        <v>152</v>
      </c>
      <c r="C98" s="5" t="s">
        <v>134</v>
      </c>
      <c r="D98" s="5">
        <v>6</v>
      </c>
      <c r="E98" s="5" t="s">
        <v>93</v>
      </c>
      <c r="F98" s="5" t="s">
        <v>99</v>
      </c>
      <c r="G98" s="6">
        <v>45925</v>
      </c>
      <c r="H98" t="s">
        <v>321</v>
      </c>
    </row>
    <row r="99" spans="1:8" x14ac:dyDescent="0.25">
      <c r="A99" s="5" t="s">
        <v>229</v>
      </c>
      <c r="B99" s="5" t="s">
        <v>118</v>
      </c>
      <c r="C99" s="5" t="s">
        <v>126</v>
      </c>
      <c r="D99" s="5">
        <v>8</v>
      </c>
      <c r="E99" s="5" t="s">
        <v>93</v>
      </c>
      <c r="F99" s="5" t="s">
        <v>99</v>
      </c>
      <c r="G99" s="6">
        <v>45981</v>
      </c>
      <c r="H99" t="s">
        <v>320</v>
      </c>
    </row>
    <row r="100" spans="1:8" x14ac:dyDescent="0.25">
      <c r="A100" s="5" t="s">
        <v>230</v>
      </c>
      <c r="B100" s="5" t="s">
        <v>125</v>
      </c>
      <c r="C100" s="5" t="s">
        <v>112</v>
      </c>
      <c r="D100" s="5">
        <v>7</v>
      </c>
      <c r="E100" s="5" t="s">
        <v>93</v>
      </c>
      <c r="F100" s="5" t="s">
        <v>94</v>
      </c>
      <c r="G100" s="6">
        <v>45916</v>
      </c>
      <c r="H100" t="s">
        <v>380</v>
      </c>
    </row>
    <row r="101" spans="1:8" x14ac:dyDescent="0.25">
      <c r="A101" s="5" t="s">
        <v>231</v>
      </c>
      <c r="B101" s="5" t="s">
        <v>107</v>
      </c>
      <c r="C101" s="5" t="s">
        <v>123</v>
      </c>
      <c r="D101" s="5">
        <v>7</v>
      </c>
      <c r="E101" s="5" t="s">
        <v>93</v>
      </c>
      <c r="F101" s="5" t="s">
        <v>94</v>
      </c>
      <c r="G101" s="6">
        <v>45968</v>
      </c>
      <c r="H101" t="s">
        <v>340</v>
      </c>
    </row>
    <row r="102" spans="1:8" x14ac:dyDescent="0.25">
      <c r="A102" s="5" t="s">
        <v>232</v>
      </c>
      <c r="B102" s="5" t="s">
        <v>118</v>
      </c>
      <c r="C102" s="5" t="s">
        <v>119</v>
      </c>
      <c r="D102" s="5">
        <v>6</v>
      </c>
      <c r="E102" s="5" t="s">
        <v>93</v>
      </c>
      <c r="F102" s="5" t="s">
        <v>99</v>
      </c>
      <c r="G102" s="6">
        <v>45977</v>
      </c>
      <c r="H102" t="s">
        <v>337</v>
      </c>
    </row>
    <row r="103" spans="1:8" x14ac:dyDescent="0.25">
      <c r="A103" s="5" t="s">
        <v>233</v>
      </c>
      <c r="B103" s="5" t="s">
        <v>133</v>
      </c>
      <c r="C103" s="5" t="s">
        <v>102</v>
      </c>
      <c r="D103" s="5">
        <v>5</v>
      </c>
      <c r="E103" s="5" t="s">
        <v>93</v>
      </c>
      <c r="F103" s="5" t="s">
        <v>99</v>
      </c>
      <c r="G103" s="6">
        <v>45953</v>
      </c>
      <c r="H103" t="s">
        <v>381</v>
      </c>
    </row>
    <row r="104" spans="1:8" x14ac:dyDescent="0.25">
      <c r="A104" s="5" t="s">
        <v>234</v>
      </c>
      <c r="B104" s="5" t="s">
        <v>118</v>
      </c>
      <c r="C104" s="5" t="s">
        <v>126</v>
      </c>
      <c r="D104" s="5">
        <v>6</v>
      </c>
      <c r="E104" s="5" t="s">
        <v>93</v>
      </c>
      <c r="F104" s="5" t="s">
        <v>105</v>
      </c>
      <c r="G104" s="6">
        <v>45940</v>
      </c>
      <c r="H104" t="s">
        <v>320</v>
      </c>
    </row>
    <row r="105" spans="1:8" x14ac:dyDescent="0.25">
      <c r="A105" s="5" t="s">
        <v>235</v>
      </c>
      <c r="B105" s="5" t="s">
        <v>152</v>
      </c>
      <c r="C105" s="5" t="s">
        <v>112</v>
      </c>
      <c r="D105" s="5">
        <v>5</v>
      </c>
      <c r="E105" s="5" t="s">
        <v>93</v>
      </c>
      <c r="F105" s="5" t="s">
        <v>105</v>
      </c>
      <c r="G105" s="6">
        <v>45966</v>
      </c>
      <c r="H105" t="s">
        <v>373</v>
      </c>
    </row>
    <row r="106" spans="1:8" x14ac:dyDescent="0.25">
      <c r="A106" s="5" t="s">
        <v>236</v>
      </c>
      <c r="B106" s="5" t="s">
        <v>101</v>
      </c>
      <c r="C106" s="5" t="s">
        <v>102</v>
      </c>
      <c r="D106" s="5">
        <v>8</v>
      </c>
      <c r="E106" s="5" t="s">
        <v>93</v>
      </c>
      <c r="F106" s="5" t="s">
        <v>105</v>
      </c>
      <c r="G106" s="6">
        <v>45940</v>
      </c>
      <c r="H106" t="s">
        <v>300</v>
      </c>
    </row>
    <row r="107" spans="1:8" x14ac:dyDescent="0.25">
      <c r="A107" s="5" t="s">
        <v>237</v>
      </c>
      <c r="B107" s="5" t="s">
        <v>162</v>
      </c>
      <c r="C107" s="5" t="s">
        <v>119</v>
      </c>
      <c r="D107" s="5">
        <v>7</v>
      </c>
      <c r="E107" s="5" t="s">
        <v>93</v>
      </c>
      <c r="F107" s="5" t="s">
        <v>105</v>
      </c>
      <c r="G107" s="6">
        <v>45952</v>
      </c>
      <c r="H107" t="s">
        <v>350</v>
      </c>
    </row>
    <row r="108" spans="1:8" x14ac:dyDescent="0.25">
      <c r="A108" s="5" t="s">
        <v>238</v>
      </c>
      <c r="B108" s="5" t="s">
        <v>118</v>
      </c>
      <c r="C108" s="5" t="s">
        <v>131</v>
      </c>
      <c r="D108" s="5">
        <v>8</v>
      </c>
      <c r="E108" s="5" t="s">
        <v>93</v>
      </c>
      <c r="F108" s="5" t="s">
        <v>105</v>
      </c>
      <c r="G108" s="6">
        <v>45932</v>
      </c>
      <c r="H108" t="s">
        <v>382</v>
      </c>
    </row>
    <row r="109" spans="1:8" x14ac:dyDescent="0.25">
      <c r="A109" s="5" t="s">
        <v>239</v>
      </c>
      <c r="B109" s="5" t="s">
        <v>133</v>
      </c>
      <c r="C109" s="5" t="s">
        <v>119</v>
      </c>
      <c r="D109" s="5">
        <v>5</v>
      </c>
      <c r="E109" s="5" t="s">
        <v>93</v>
      </c>
      <c r="F109" s="5" t="s">
        <v>105</v>
      </c>
      <c r="G109" s="6">
        <v>45981</v>
      </c>
      <c r="H109" t="s">
        <v>383</v>
      </c>
    </row>
    <row r="110" spans="1:8" x14ac:dyDescent="0.25">
      <c r="A110" s="5" t="s">
        <v>240</v>
      </c>
      <c r="B110" s="5" t="s">
        <v>152</v>
      </c>
      <c r="C110" s="5" t="s">
        <v>119</v>
      </c>
      <c r="D110" s="5">
        <v>5</v>
      </c>
      <c r="E110" s="5" t="s">
        <v>93</v>
      </c>
      <c r="F110" s="5" t="s">
        <v>94</v>
      </c>
      <c r="G110" s="6">
        <v>45953</v>
      </c>
      <c r="H110" t="s">
        <v>384</v>
      </c>
    </row>
    <row r="111" spans="1:8" x14ac:dyDescent="0.25">
      <c r="A111" s="5" t="s">
        <v>241</v>
      </c>
      <c r="B111" s="5" t="s">
        <v>162</v>
      </c>
      <c r="C111" s="5" t="s">
        <v>102</v>
      </c>
      <c r="D111" s="5">
        <v>8</v>
      </c>
      <c r="E111" s="5" t="s">
        <v>93</v>
      </c>
      <c r="F111" s="5" t="s">
        <v>146</v>
      </c>
      <c r="G111" s="6">
        <v>45965</v>
      </c>
      <c r="H111" t="s">
        <v>327</v>
      </c>
    </row>
    <row r="112" spans="1:8" x14ac:dyDescent="0.25">
      <c r="A112" s="5" t="s">
        <v>242</v>
      </c>
      <c r="B112" s="5" t="s">
        <v>91</v>
      </c>
      <c r="C112" s="5" t="s">
        <v>92</v>
      </c>
      <c r="D112" s="5">
        <v>5</v>
      </c>
      <c r="E112" s="5" t="s">
        <v>93</v>
      </c>
      <c r="F112" s="5" t="s">
        <v>99</v>
      </c>
      <c r="G112" s="6">
        <v>45954</v>
      </c>
      <c r="H112" t="s">
        <v>298</v>
      </c>
    </row>
    <row r="113" spans="1:8" x14ac:dyDescent="0.25">
      <c r="A113" s="5" t="s">
        <v>243</v>
      </c>
      <c r="B113" s="5" t="s">
        <v>156</v>
      </c>
      <c r="C113" s="5" t="s">
        <v>102</v>
      </c>
      <c r="D113" s="5">
        <v>8</v>
      </c>
      <c r="E113" s="5" t="s">
        <v>93</v>
      </c>
      <c r="F113" s="5" t="s">
        <v>105</v>
      </c>
      <c r="G113" s="6">
        <v>45940</v>
      </c>
      <c r="H113" t="s">
        <v>377</v>
      </c>
    </row>
    <row r="114" spans="1:8" x14ac:dyDescent="0.25">
      <c r="A114" s="5" t="s">
        <v>244</v>
      </c>
      <c r="B114" s="5" t="s">
        <v>101</v>
      </c>
      <c r="C114" s="5" t="s">
        <v>134</v>
      </c>
      <c r="D114" s="5">
        <v>7</v>
      </c>
      <c r="E114" s="5" t="s">
        <v>93</v>
      </c>
      <c r="F114" s="5" t="s">
        <v>105</v>
      </c>
      <c r="G114" s="6">
        <v>45981</v>
      </c>
      <c r="H114" t="s">
        <v>385</v>
      </c>
    </row>
    <row r="115" spans="1:8" x14ac:dyDescent="0.25">
      <c r="A115" s="5" t="s">
        <v>245</v>
      </c>
      <c r="B115" s="5" t="s">
        <v>101</v>
      </c>
      <c r="C115" s="5" t="s">
        <v>97</v>
      </c>
      <c r="D115" s="5">
        <v>8</v>
      </c>
      <c r="E115" s="5" t="s">
        <v>93</v>
      </c>
      <c r="F115" s="5" t="s">
        <v>94</v>
      </c>
      <c r="G115" s="6">
        <v>45932</v>
      </c>
      <c r="H115" t="s">
        <v>336</v>
      </c>
    </row>
    <row r="116" spans="1:8" x14ac:dyDescent="0.25">
      <c r="A116" s="5" t="s">
        <v>246</v>
      </c>
      <c r="B116" s="5" t="s">
        <v>140</v>
      </c>
      <c r="C116" s="5" t="s">
        <v>168</v>
      </c>
      <c r="D116" s="5">
        <v>7</v>
      </c>
      <c r="E116" s="5" t="s">
        <v>93</v>
      </c>
      <c r="F116" s="5" t="s">
        <v>94</v>
      </c>
      <c r="G116" s="6">
        <v>45953</v>
      </c>
      <c r="H116" t="s">
        <v>386</v>
      </c>
    </row>
    <row r="117" spans="1:8" x14ac:dyDescent="0.25">
      <c r="A117" s="5" t="s">
        <v>247</v>
      </c>
      <c r="B117" s="5" t="s">
        <v>197</v>
      </c>
      <c r="C117" s="5" t="s">
        <v>92</v>
      </c>
      <c r="D117" s="5">
        <v>8</v>
      </c>
      <c r="E117" s="5" t="s">
        <v>93</v>
      </c>
      <c r="F117" s="5" t="s">
        <v>105</v>
      </c>
      <c r="G117" s="6">
        <v>45907</v>
      </c>
      <c r="H117" t="s">
        <v>387</v>
      </c>
    </row>
    <row r="118" spans="1:8" x14ac:dyDescent="0.25">
      <c r="A118" s="5" t="s">
        <v>248</v>
      </c>
      <c r="B118" s="5" t="s">
        <v>110</v>
      </c>
      <c r="C118" s="5" t="s">
        <v>129</v>
      </c>
      <c r="D118" s="5">
        <v>5</v>
      </c>
      <c r="E118" s="5" t="s">
        <v>93</v>
      </c>
      <c r="F118" s="5" t="s">
        <v>99</v>
      </c>
      <c r="G118" s="6">
        <v>45931</v>
      </c>
      <c r="H118" t="s">
        <v>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9BB8-882B-4D1C-8AA2-2FC0059D90EF}">
  <dimension ref="A1:F120"/>
  <sheetViews>
    <sheetView workbookViewId="0">
      <selection activeCell="G18" sqref="G18"/>
    </sheetView>
  </sheetViews>
  <sheetFormatPr defaultRowHeight="15" x14ac:dyDescent="0.25"/>
  <cols>
    <col min="1" max="1" width="15.5703125" customWidth="1"/>
    <col min="3" max="3" width="15.85546875" customWidth="1"/>
    <col min="4" max="4" width="13.28515625" customWidth="1"/>
    <col min="5" max="5" width="14.140625" customWidth="1"/>
    <col min="6" max="6" width="16.140625" customWidth="1"/>
    <col min="7" max="7" width="18.28515625" customWidth="1"/>
    <col min="8" max="8" width="14.5703125" customWidth="1"/>
    <col min="9" max="9" width="23.140625" customWidth="1"/>
    <col min="10" max="10" width="24.140625" customWidth="1"/>
  </cols>
  <sheetData>
    <row r="1" spans="1:6" x14ac:dyDescent="0.25">
      <c r="A1" s="4" t="s">
        <v>7</v>
      </c>
      <c r="B1" s="4" t="s">
        <v>18</v>
      </c>
      <c r="C1" s="4" t="s">
        <v>38</v>
      </c>
      <c r="D1" s="4" t="s">
        <v>43</v>
      </c>
      <c r="E1" s="4" t="s">
        <v>47</v>
      </c>
      <c r="F1" s="4" t="s">
        <v>50</v>
      </c>
    </row>
    <row r="2" spans="1:6" x14ac:dyDescent="0.25">
      <c r="A2" s="5" t="s">
        <v>90</v>
      </c>
      <c r="B2" s="5">
        <v>8</v>
      </c>
      <c r="C2" s="5">
        <v>93</v>
      </c>
      <c r="D2" s="5">
        <v>81</v>
      </c>
      <c r="E2" s="5">
        <v>12</v>
      </c>
      <c r="F2" s="5">
        <v>87.1</v>
      </c>
    </row>
    <row r="3" spans="1:6" x14ac:dyDescent="0.25">
      <c r="A3" s="5" t="s">
        <v>95</v>
      </c>
      <c r="B3" s="5">
        <v>5</v>
      </c>
      <c r="C3" s="5">
        <v>99</v>
      </c>
      <c r="D3" s="5">
        <v>94</v>
      </c>
      <c r="E3" s="5">
        <v>5</v>
      </c>
      <c r="F3" s="5">
        <v>94.9</v>
      </c>
    </row>
    <row r="4" spans="1:6" x14ac:dyDescent="0.25">
      <c r="A4" s="5" t="s">
        <v>100</v>
      </c>
      <c r="B4" s="5">
        <v>7</v>
      </c>
      <c r="C4" s="5">
        <v>145</v>
      </c>
      <c r="D4" s="5">
        <v>141</v>
      </c>
      <c r="E4" s="5">
        <v>4</v>
      </c>
      <c r="F4" s="5">
        <v>97.2</v>
      </c>
    </row>
    <row r="5" spans="1:6" x14ac:dyDescent="0.25">
      <c r="A5" s="5" t="s">
        <v>103</v>
      </c>
      <c r="B5" s="5">
        <v>8</v>
      </c>
      <c r="C5" s="5">
        <v>106</v>
      </c>
      <c r="D5" s="5">
        <v>106</v>
      </c>
      <c r="E5" s="5">
        <v>0</v>
      </c>
      <c r="F5" s="5">
        <v>100</v>
      </c>
    </row>
    <row r="6" spans="1:6" x14ac:dyDescent="0.25">
      <c r="A6" s="5" t="s">
        <v>106</v>
      </c>
      <c r="B6" s="5">
        <v>5</v>
      </c>
      <c r="C6" s="5">
        <v>163</v>
      </c>
      <c r="D6" s="5">
        <v>143</v>
      </c>
      <c r="E6" s="5">
        <v>20</v>
      </c>
      <c r="F6" s="5">
        <v>87.7</v>
      </c>
    </row>
    <row r="7" spans="1:6" x14ac:dyDescent="0.25">
      <c r="A7" s="5" t="s">
        <v>249</v>
      </c>
      <c r="B7" s="5">
        <v>5</v>
      </c>
      <c r="C7" s="5">
        <v>106</v>
      </c>
      <c r="D7" s="5">
        <v>85</v>
      </c>
      <c r="E7" s="5">
        <v>21</v>
      </c>
      <c r="F7" s="5">
        <v>80.2</v>
      </c>
    </row>
    <row r="8" spans="1:6" x14ac:dyDescent="0.25">
      <c r="A8" s="5" t="s">
        <v>109</v>
      </c>
      <c r="B8" s="5">
        <v>6</v>
      </c>
      <c r="C8" s="5">
        <v>173</v>
      </c>
      <c r="D8" s="5">
        <v>153</v>
      </c>
      <c r="E8" s="5">
        <v>20</v>
      </c>
      <c r="F8" s="5">
        <v>88.4</v>
      </c>
    </row>
    <row r="9" spans="1:6" x14ac:dyDescent="0.25">
      <c r="A9" s="5" t="s">
        <v>111</v>
      </c>
      <c r="B9" s="5">
        <v>7</v>
      </c>
      <c r="C9" s="5">
        <v>177</v>
      </c>
      <c r="D9" s="5">
        <v>172</v>
      </c>
      <c r="E9" s="5">
        <v>5</v>
      </c>
      <c r="F9" s="5">
        <v>97.2</v>
      </c>
    </row>
    <row r="10" spans="1:6" x14ac:dyDescent="0.25">
      <c r="A10" s="5" t="s">
        <v>114</v>
      </c>
      <c r="B10" s="5">
        <v>6</v>
      </c>
      <c r="C10" s="5">
        <v>123</v>
      </c>
      <c r="D10" s="5">
        <v>101</v>
      </c>
      <c r="E10" s="5">
        <v>22</v>
      </c>
      <c r="F10" s="5">
        <v>82.1</v>
      </c>
    </row>
    <row r="11" spans="1:6" x14ac:dyDescent="0.25">
      <c r="A11" s="5" t="s">
        <v>116</v>
      </c>
      <c r="B11" s="5">
        <v>6</v>
      </c>
      <c r="C11" s="5">
        <v>95</v>
      </c>
      <c r="D11" s="5">
        <v>80</v>
      </c>
      <c r="E11" s="5">
        <v>15</v>
      </c>
      <c r="F11" s="5">
        <v>84.2</v>
      </c>
    </row>
    <row r="12" spans="1:6" x14ac:dyDescent="0.25">
      <c r="A12" s="5" t="s">
        <v>117</v>
      </c>
      <c r="B12" s="5">
        <v>7</v>
      </c>
      <c r="C12" s="5">
        <v>142</v>
      </c>
      <c r="D12" s="5">
        <v>139</v>
      </c>
      <c r="E12" s="5">
        <v>3</v>
      </c>
      <c r="F12" s="5">
        <v>97.9</v>
      </c>
    </row>
    <row r="13" spans="1:6" x14ac:dyDescent="0.25">
      <c r="A13" s="5" t="s">
        <v>121</v>
      </c>
      <c r="B13" s="5">
        <v>7</v>
      </c>
      <c r="C13" s="5">
        <v>155</v>
      </c>
      <c r="D13" s="5">
        <v>145</v>
      </c>
      <c r="E13" s="5">
        <v>10</v>
      </c>
      <c r="F13" s="5">
        <v>93.5</v>
      </c>
    </row>
    <row r="14" spans="1:6" x14ac:dyDescent="0.25">
      <c r="A14" s="5" t="s">
        <v>124</v>
      </c>
      <c r="B14" s="5">
        <v>8</v>
      </c>
      <c r="C14" s="5">
        <v>166</v>
      </c>
      <c r="D14" s="5">
        <v>143</v>
      </c>
      <c r="E14" s="5">
        <v>23</v>
      </c>
      <c r="F14" s="5">
        <v>86.1</v>
      </c>
    </row>
    <row r="15" spans="1:6" x14ac:dyDescent="0.25">
      <c r="A15" s="5" t="s">
        <v>127</v>
      </c>
      <c r="B15" s="5">
        <v>8</v>
      </c>
      <c r="C15" s="5">
        <v>132</v>
      </c>
      <c r="D15" s="5">
        <v>110</v>
      </c>
      <c r="E15" s="5">
        <v>22</v>
      </c>
      <c r="F15" s="5">
        <v>83.3</v>
      </c>
    </row>
    <row r="16" spans="1:6" x14ac:dyDescent="0.25">
      <c r="A16" s="5" t="s">
        <v>130</v>
      </c>
      <c r="B16" s="5">
        <v>6</v>
      </c>
      <c r="C16" s="5">
        <v>164</v>
      </c>
      <c r="D16" s="5">
        <v>156</v>
      </c>
      <c r="E16" s="5">
        <v>8</v>
      </c>
      <c r="F16" s="5">
        <v>95.1</v>
      </c>
    </row>
    <row r="17" spans="1:6" x14ac:dyDescent="0.25">
      <c r="A17" s="5" t="s">
        <v>132</v>
      </c>
      <c r="B17" s="5">
        <v>8</v>
      </c>
      <c r="C17" s="5">
        <v>112</v>
      </c>
      <c r="D17" s="5">
        <v>90</v>
      </c>
      <c r="E17" s="5">
        <v>22</v>
      </c>
      <c r="F17" s="5">
        <v>80.400000000000006</v>
      </c>
    </row>
    <row r="18" spans="1:6" x14ac:dyDescent="0.25">
      <c r="A18" s="5" t="s">
        <v>135</v>
      </c>
      <c r="B18" s="5">
        <v>5</v>
      </c>
      <c r="C18" s="5">
        <v>144</v>
      </c>
      <c r="D18" s="5">
        <v>142</v>
      </c>
      <c r="E18" s="5">
        <v>2</v>
      </c>
      <c r="F18" s="5">
        <v>98.6</v>
      </c>
    </row>
    <row r="19" spans="1:6" x14ac:dyDescent="0.25">
      <c r="A19" s="5" t="s">
        <v>136</v>
      </c>
      <c r="B19" s="5">
        <v>8</v>
      </c>
      <c r="C19" s="5">
        <v>169</v>
      </c>
      <c r="D19" s="5">
        <v>151</v>
      </c>
      <c r="E19" s="5">
        <v>18</v>
      </c>
      <c r="F19" s="5">
        <v>89.3</v>
      </c>
    </row>
    <row r="20" spans="1:6" x14ac:dyDescent="0.25">
      <c r="A20" s="5" t="s">
        <v>137</v>
      </c>
      <c r="B20" s="5">
        <v>8</v>
      </c>
      <c r="C20" s="5">
        <v>164</v>
      </c>
      <c r="D20" s="5">
        <v>157</v>
      </c>
      <c r="E20" s="5">
        <v>7</v>
      </c>
      <c r="F20" s="5">
        <v>95.7</v>
      </c>
    </row>
    <row r="21" spans="1:6" x14ac:dyDescent="0.25">
      <c r="A21" s="5" t="s">
        <v>139</v>
      </c>
      <c r="B21" s="5">
        <v>5</v>
      </c>
      <c r="C21" s="5">
        <v>105</v>
      </c>
      <c r="D21" s="5">
        <v>101</v>
      </c>
      <c r="E21" s="5">
        <v>4</v>
      </c>
      <c r="F21" s="5">
        <v>96.2</v>
      </c>
    </row>
    <row r="22" spans="1:6" x14ac:dyDescent="0.25">
      <c r="A22" s="5" t="s">
        <v>141</v>
      </c>
      <c r="B22" s="5">
        <v>6</v>
      </c>
      <c r="C22" s="5">
        <v>97</v>
      </c>
      <c r="D22" s="5">
        <v>94</v>
      </c>
      <c r="E22" s="5">
        <v>3</v>
      </c>
      <c r="F22" s="5">
        <v>96.9</v>
      </c>
    </row>
    <row r="23" spans="1:6" x14ac:dyDescent="0.25">
      <c r="A23" s="5" t="s">
        <v>143</v>
      </c>
      <c r="B23" s="5">
        <v>5</v>
      </c>
      <c r="C23" s="5">
        <v>93</v>
      </c>
      <c r="D23" s="5">
        <v>70</v>
      </c>
      <c r="E23" s="5">
        <v>23</v>
      </c>
      <c r="F23" s="5">
        <v>75.3</v>
      </c>
    </row>
    <row r="24" spans="1:6" x14ac:dyDescent="0.25">
      <c r="A24" s="5" t="s">
        <v>144</v>
      </c>
      <c r="B24" s="5">
        <v>8</v>
      </c>
      <c r="C24" s="5">
        <v>93</v>
      </c>
      <c r="D24" s="5">
        <v>88</v>
      </c>
      <c r="E24" s="5">
        <v>5</v>
      </c>
      <c r="F24" s="5">
        <v>94.6</v>
      </c>
    </row>
    <row r="25" spans="1:6" x14ac:dyDescent="0.25">
      <c r="A25" s="5" t="s">
        <v>145</v>
      </c>
      <c r="B25" s="5">
        <v>6</v>
      </c>
      <c r="C25" s="5">
        <v>145</v>
      </c>
      <c r="D25" s="5">
        <v>144</v>
      </c>
      <c r="E25" s="5">
        <v>1</v>
      </c>
      <c r="F25" s="5">
        <v>99.3</v>
      </c>
    </row>
    <row r="26" spans="1:6" x14ac:dyDescent="0.25">
      <c r="A26" s="5" t="s">
        <v>147</v>
      </c>
      <c r="B26" s="5">
        <v>8</v>
      </c>
      <c r="C26" s="5">
        <v>114</v>
      </c>
      <c r="D26" s="5">
        <v>95</v>
      </c>
      <c r="E26" s="5">
        <v>19</v>
      </c>
      <c r="F26" s="5">
        <v>83.3</v>
      </c>
    </row>
    <row r="27" spans="1:6" x14ac:dyDescent="0.25">
      <c r="A27" s="5" t="s">
        <v>149</v>
      </c>
      <c r="B27" s="5">
        <v>5</v>
      </c>
      <c r="C27" s="5">
        <v>156</v>
      </c>
      <c r="D27" s="5">
        <v>146</v>
      </c>
      <c r="E27" s="5">
        <v>10</v>
      </c>
      <c r="F27" s="5">
        <v>93.6</v>
      </c>
    </row>
    <row r="28" spans="1:6" x14ac:dyDescent="0.25">
      <c r="A28" s="5" t="s">
        <v>150</v>
      </c>
      <c r="B28" s="5">
        <v>5</v>
      </c>
      <c r="C28" s="5">
        <v>156</v>
      </c>
      <c r="D28" s="5">
        <v>153</v>
      </c>
      <c r="E28" s="5">
        <v>3</v>
      </c>
      <c r="F28" s="5">
        <v>98.1</v>
      </c>
    </row>
    <row r="29" spans="1:6" x14ac:dyDescent="0.25">
      <c r="A29" s="5" t="s">
        <v>151</v>
      </c>
      <c r="B29" s="5">
        <v>8</v>
      </c>
      <c r="C29" s="5">
        <v>116</v>
      </c>
      <c r="D29" s="5">
        <v>102</v>
      </c>
      <c r="E29" s="5">
        <v>14</v>
      </c>
      <c r="F29" s="5">
        <v>87.9</v>
      </c>
    </row>
    <row r="30" spans="1:6" x14ac:dyDescent="0.25">
      <c r="A30" s="5" t="s">
        <v>153</v>
      </c>
      <c r="B30" s="5">
        <v>7</v>
      </c>
      <c r="C30" s="5">
        <v>121</v>
      </c>
      <c r="D30" s="5">
        <v>116</v>
      </c>
      <c r="E30" s="5">
        <v>5</v>
      </c>
      <c r="F30" s="5">
        <v>95.9</v>
      </c>
    </row>
    <row r="31" spans="1:6" x14ac:dyDescent="0.25">
      <c r="A31" s="5" t="s">
        <v>250</v>
      </c>
      <c r="B31" s="5">
        <v>7</v>
      </c>
      <c r="C31" s="5">
        <v>139</v>
      </c>
      <c r="D31" s="5">
        <v>118</v>
      </c>
      <c r="E31" s="5">
        <v>21</v>
      </c>
      <c r="F31" s="5">
        <v>84.9</v>
      </c>
    </row>
    <row r="32" spans="1:6" x14ac:dyDescent="0.25">
      <c r="A32" s="5" t="s">
        <v>155</v>
      </c>
      <c r="B32" s="5">
        <v>5</v>
      </c>
      <c r="C32" s="5">
        <v>150</v>
      </c>
      <c r="D32" s="5">
        <v>134</v>
      </c>
      <c r="E32" s="5">
        <v>16</v>
      </c>
      <c r="F32" s="5">
        <v>89.3</v>
      </c>
    </row>
    <row r="33" spans="1:6" x14ac:dyDescent="0.25">
      <c r="A33" s="5" t="s">
        <v>157</v>
      </c>
      <c r="B33" s="5">
        <v>5</v>
      </c>
      <c r="C33" s="5">
        <v>140</v>
      </c>
      <c r="D33" s="5">
        <v>117</v>
      </c>
      <c r="E33" s="5">
        <v>23</v>
      </c>
      <c r="F33" s="5">
        <v>83.6</v>
      </c>
    </row>
    <row r="34" spans="1:6" x14ac:dyDescent="0.25">
      <c r="A34" s="5" t="s">
        <v>158</v>
      </c>
      <c r="B34" s="5">
        <v>7</v>
      </c>
      <c r="C34" s="5">
        <v>108</v>
      </c>
      <c r="D34" s="5">
        <v>103</v>
      </c>
      <c r="E34" s="5">
        <v>5</v>
      </c>
      <c r="F34" s="5">
        <v>95.4</v>
      </c>
    </row>
    <row r="35" spans="1:6" x14ac:dyDescent="0.25">
      <c r="A35" s="5" t="s">
        <v>160</v>
      </c>
      <c r="B35" s="5">
        <v>7</v>
      </c>
      <c r="C35" s="5">
        <v>110</v>
      </c>
      <c r="D35" s="5">
        <v>92</v>
      </c>
      <c r="E35" s="5">
        <v>18</v>
      </c>
      <c r="F35" s="5">
        <v>83.6</v>
      </c>
    </row>
    <row r="36" spans="1:6" x14ac:dyDescent="0.25">
      <c r="A36" s="5" t="s">
        <v>161</v>
      </c>
      <c r="B36" s="5">
        <v>8</v>
      </c>
      <c r="C36" s="5">
        <v>94</v>
      </c>
      <c r="D36" s="5">
        <v>93</v>
      </c>
      <c r="E36" s="5">
        <v>1</v>
      </c>
      <c r="F36" s="5">
        <v>98.9</v>
      </c>
    </row>
    <row r="37" spans="1:6" x14ac:dyDescent="0.25">
      <c r="A37" s="5" t="s">
        <v>163</v>
      </c>
      <c r="B37" s="5">
        <v>8</v>
      </c>
      <c r="C37" s="5">
        <v>171</v>
      </c>
      <c r="D37" s="5">
        <v>157</v>
      </c>
      <c r="E37" s="5">
        <v>14</v>
      </c>
      <c r="F37" s="5">
        <v>91.8</v>
      </c>
    </row>
    <row r="38" spans="1:6" x14ac:dyDescent="0.25">
      <c r="A38" s="5" t="s">
        <v>164</v>
      </c>
      <c r="B38" s="5">
        <v>7</v>
      </c>
      <c r="C38" s="5">
        <v>131</v>
      </c>
      <c r="D38" s="5">
        <v>121</v>
      </c>
      <c r="E38" s="5">
        <v>10</v>
      </c>
      <c r="F38" s="5">
        <v>92.4</v>
      </c>
    </row>
    <row r="39" spans="1:6" x14ac:dyDescent="0.25">
      <c r="A39" s="5" t="s">
        <v>165</v>
      </c>
      <c r="B39" s="5">
        <v>8</v>
      </c>
      <c r="C39" s="5">
        <v>150</v>
      </c>
      <c r="D39" s="5">
        <v>143</v>
      </c>
      <c r="E39" s="5">
        <v>7</v>
      </c>
      <c r="F39" s="5">
        <v>95.3</v>
      </c>
    </row>
    <row r="40" spans="1:6" x14ac:dyDescent="0.25">
      <c r="A40" s="5" t="s">
        <v>166</v>
      </c>
      <c r="B40" s="5">
        <v>8</v>
      </c>
      <c r="C40" s="5">
        <v>111</v>
      </c>
      <c r="D40" s="5">
        <v>93</v>
      </c>
      <c r="E40" s="5">
        <v>18</v>
      </c>
      <c r="F40" s="5">
        <v>83.8</v>
      </c>
    </row>
    <row r="41" spans="1:6" x14ac:dyDescent="0.25">
      <c r="A41" s="5" t="s">
        <v>167</v>
      </c>
      <c r="B41" s="5">
        <v>6</v>
      </c>
      <c r="C41" s="5">
        <v>110</v>
      </c>
      <c r="D41" s="5">
        <v>98</v>
      </c>
      <c r="E41" s="5">
        <v>12</v>
      </c>
      <c r="F41" s="5">
        <v>89.1</v>
      </c>
    </row>
    <row r="42" spans="1:6" x14ac:dyDescent="0.25">
      <c r="A42" s="5" t="s">
        <v>169</v>
      </c>
      <c r="B42" s="5">
        <v>8</v>
      </c>
      <c r="C42" s="5">
        <v>159</v>
      </c>
      <c r="D42" s="5">
        <v>148</v>
      </c>
      <c r="E42" s="5">
        <v>11</v>
      </c>
      <c r="F42" s="5">
        <v>93.1</v>
      </c>
    </row>
    <row r="43" spans="1:6" x14ac:dyDescent="0.25">
      <c r="A43" s="5" t="s">
        <v>170</v>
      </c>
      <c r="B43" s="5">
        <v>5</v>
      </c>
      <c r="C43" s="5">
        <v>90</v>
      </c>
      <c r="D43" s="5">
        <v>86</v>
      </c>
      <c r="E43" s="5">
        <v>4</v>
      </c>
      <c r="F43" s="5">
        <v>95.6</v>
      </c>
    </row>
    <row r="44" spans="1:6" x14ac:dyDescent="0.25">
      <c r="A44" s="5" t="s">
        <v>171</v>
      </c>
      <c r="B44" s="5">
        <v>8</v>
      </c>
      <c r="C44" s="5">
        <v>94</v>
      </c>
      <c r="D44" s="5">
        <v>89</v>
      </c>
      <c r="E44" s="5">
        <v>5</v>
      </c>
      <c r="F44" s="5">
        <v>94.7</v>
      </c>
    </row>
    <row r="45" spans="1:6" x14ac:dyDescent="0.25">
      <c r="A45" s="5" t="s">
        <v>172</v>
      </c>
      <c r="B45" s="5">
        <v>8</v>
      </c>
      <c r="C45" s="5">
        <v>101</v>
      </c>
      <c r="D45" s="5">
        <v>80</v>
      </c>
      <c r="E45" s="5">
        <v>21</v>
      </c>
      <c r="F45" s="5">
        <v>79.2</v>
      </c>
    </row>
    <row r="46" spans="1:6" x14ac:dyDescent="0.25">
      <c r="A46" s="5" t="s">
        <v>173</v>
      </c>
      <c r="B46" s="5">
        <v>7</v>
      </c>
      <c r="C46" s="5">
        <v>179</v>
      </c>
      <c r="D46" s="5">
        <v>176</v>
      </c>
      <c r="E46" s="5">
        <v>3</v>
      </c>
      <c r="F46" s="5">
        <v>98.3</v>
      </c>
    </row>
    <row r="47" spans="1:6" x14ac:dyDescent="0.25">
      <c r="A47" s="5" t="s">
        <v>174</v>
      </c>
      <c r="B47" s="5">
        <v>5</v>
      </c>
      <c r="C47" s="5">
        <v>135</v>
      </c>
      <c r="D47" s="5">
        <v>117</v>
      </c>
      <c r="E47" s="5">
        <v>18</v>
      </c>
      <c r="F47" s="5">
        <v>86.7</v>
      </c>
    </row>
    <row r="48" spans="1:6" x14ac:dyDescent="0.25">
      <c r="A48" s="5" t="s">
        <v>175</v>
      </c>
      <c r="B48" s="5">
        <v>8</v>
      </c>
      <c r="C48" s="5">
        <v>123</v>
      </c>
      <c r="D48" s="5">
        <v>104</v>
      </c>
      <c r="E48" s="5">
        <v>19</v>
      </c>
      <c r="F48" s="5">
        <v>84.6</v>
      </c>
    </row>
    <row r="49" spans="1:6" x14ac:dyDescent="0.25">
      <c r="A49" s="5" t="s">
        <v>176</v>
      </c>
      <c r="B49" s="5">
        <v>8</v>
      </c>
      <c r="C49" s="5">
        <v>138</v>
      </c>
      <c r="D49" s="5">
        <v>138</v>
      </c>
      <c r="E49" s="5">
        <v>0</v>
      </c>
      <c r="F49" s="5">
        <v>100</v>
      </c>
    </row>
    <row r="50" spans="1:6" x14ac:dyDescent="0.25">
      <c r="A50" s="5" t="s">
        <v>177</v>
      </c>
      <c r="B50" s="5">
        <v>6</v>
      </c>
      <c r="C50" s="5">
        <v>167</v>
      </c>
      <c r="D50" s="5">
        <v>148</v>
      </c>
      <c r="E50" s="5">
        <v>19</v>
      </c>
      <c r="F50" s="5">
        <v>88.6</v>
      </c>
    </row>
    <row r="51" spans="1:6" x14ac:dyDescent="0.25">
      <c r="A51" s="5" t="s">
        <v>178</v>
      </c>
      <c r="B51" s="5">
        <v>8</v>
      </c>
      <c r="C51" s="5">
        <v>179</v>
      </c>
      <c r="D51" s="5">
        <v>163</v>
      </c>
      <c r="E51" s="5">
        <v>16</v>
      </c>
      <c r="F51" s="5">
        <v>91.1</v>
      </c>
    </row>
    <row r="52" spans="1:6" x14ac:dyDescent="0.25">
      <c r="A52" s="5" t="s">
        <v>179</v>
      </c>
      <c r="B52" s="5">
        <v>8</v>
      </c>
      <c r="C52" s="5">
        <v>134</v>
      </c>
      <c r="D52" s="5">
        <v>123</v>
      </c>
      <c r="E52" s="5">
        <v>11</v>
      </c>
      <c r="F52" s="5">
        <v>91.8</v>
      </c>
    </row>
    <row r="53" spans="1:6" x14ac:dyDescent="0.25">
      <c r="A53" s="5" t="s">
        <v>180</v>
      </c>
      <c r="B53" s="5">
        <v>6</v>
      </c>
      <c r="C53" s="5">
        <v>116</v>
      </c>
      <c r="D53" s="5">
        <v>102</v>
      </c>
      <c r="E53" s="5">
        <v>14</v>
      </c>
      <c r="F53" s="5">
        <v>87.9</v>
      </c>
    </row>
    <row r="54" spans="1:6" x14ac:dyDescent="0.25">
      <c r="A54" s="5" t="s">
        <v>181</v>
      </c>
      <c r="B54" s="5">
        <v>7</v>
      </c>
      <c r="C54" s="5">
        <v>162</v>
      </c>
      <c r="D54" s="5">
        <v>162</v>
      </c>
      <c r="E54" s="5">
        <v>0</v>
      </c>
      <c r="F54" s="5">
        <v>100</v>
      </c>
    </row>
    <row r="55" spans="1:6" x14ac:dyDescent="0.25">
      <c r="A55" s="5" t="s">
        <v>182</v>
      </c>
      <c r="B55" s="5">
        <v>8</v>
      </c>
      <c r="C55" s="5">
        <v>115</v>
      </c>
      <c r="D55" s="5">
        <v>102</v>
      </c>
      <c r="E55" s="5">
        <v>13</v>
      </c>
      <c r="F55" s="5">
        <v>88.7</v>
      </c>
    </row>
    <row r="56" spans="1:6" x14ac:dyDescent="0.25">
      <c r="A56" s="5" t="s">
        <v>183</v>
      </c>
      <c r="B56" s="5">
        <v>6</v>
      </c>
      <c r="C56" s="5">
        <v>136</v>
      </c>
      <c r="D56" s="5">
        <v>131</v>
      </c>
      <c r="E56" s="5">
        <v>5</v>
      </c>
      <c r="F56" s="5">
        <v>96.3</v>
      </c>
    </row>
    <row r="57" spans="1:6" x14ac:dyDescent="0.25">
      <c r="A57" s="5" t="s">
        <v>184</v>
      </c>
      <c r="B57" s="5">
        <v>5</v>
      </c>
      <c r="C57" s="5">
        <v>175</v>
      </c>
      <c r="D57" s="5">
        <v>171</v>
      </c>
      <c r="E57" s="5">
        <v>4</v>
      </c>
      <c r="F57" s="5">
        <v>97.7</v>
      </c>
    </row>
    <row r="58" spans="1:6" x14ac:dyDescent="0.25">
      <c r="A58" s="5" t="s">
        <v>185</v>
      </c>
      <c r="B58" s="5">
        <v>7</v>
      </c>
      <c r="C58" s="5">
        <v>145</v>
      </c>
      <c r="D58" s="5">
        <v>135</v>
      </c>
      <c r="E58" s="5">
        <v>10</v>
      </c>
      <c r="F58" s="5">
        <v>93.1</v>
      </c>
    </row>
    <row r="59" spans="1:6" x14ac:dyDescent="0.25">
      <c r="A59" s="5" t="s">
        <v>186</v>
      </c>
      <c r="B59" s="5">
        <v>5</v>
      </c>
      <c r="C59" s="5">
        <v>152</v>
      </c>
      <c r="D59" s="5">
        <v>149</v>
      </c>
      <c r="E59" s="5">
        <v>3</v>
      </c>
      <c r="F59" s="5">
        <v>98</v>
      </c>
    </row>
    <row r="60" spans="1:6" x14ac:dyDescent="0.25">
      <c r="A60" s="5" t="s">
        <v>187</v>
      </c>
      <c r="B60" s="5">
        <v>5</v>
      </c>
      <c r="C60" s="5">
        <v>137</v>
      </c>
      <c r="D60" s="5">
        <v>125</v>
      </c>
      <c r="E60" s="5">
        <v>12</v>
      </c>
      <c r="F60" s="5">
        <v>91.2</v>
      </c>
    </row>
    <row r="61" spans="1:6" x14ac:dyDescent="0.25">
      <c r="A61" s="5" t="s">
        <v>188</v>
      </c>
      <c r="B61" s="5">
        <v>6</v>
      </c>
      <c r="C61" s="5">
        <v>150</v>
      </c>
      <c r="D61" s="5">
        <v>140</v>
      </c>
      <c r="E61" s="5">
        <v>10</v>
      </c>
      <c r="F61" s="5">
        <v>93.3</v>
      </c>
    </row>
    <row r="62" spans="1:6" x14ac:dyDescent="0.25">
      <c r="A62" s="5" t="s">
        <v>189</v>
      </c>
      <c r="B62" s="5">
        <v>8</v>
      </c>
      <c r="C62" s="5">
        <v>170</v>
      </c>
      <c r="D62" s="5">
        <v>168</v>
      </c>
      <c r="E62" s="5">
        <v>2</v>
      </c>
      <c r="F62" s="5">
        <v>98.8</v>
      </c>
    </row>
    <row r="63" spans="1:6" x14ac:dyDescent="0.25">
      <c r="A63" s="5" t="s">
        <v>190</v>
      </c>
      <c r="B63" s="5">
        <v>6</v>
      </c>
      <c r="C63" s="5">
        <v>115</v>
      </c>
      <c r="D63" s="5">
        <v>115</v>
      </c>
      <c r="E63" s="5">
        <v>0</v>
      </c>
      <c r="F63" s="5">
        <v>100</v>
      </c>
    </row>
    <row r="64" spans="1:6" x14ac:dyDescent="0.25">
      <c r="A64" s="5" t="s">
        <v>191</v>
      </c>
      <c r="B64" s="5">
        <v>6</v>
      </c>
      <c r="C64" s="5">
        <v>125</v>
      </c>
      <c r="D64" s="5">
        <v>120</v>
      </c>
      <c r="E64" s="5">
        <v>5</v>
      </c>
      <c r="F64" s="5">
        <v>96</v>
      </c>
    </row>
    <row r="65" spans="1:6" x14ac:dyDescent="0.25">
      <c r="A65" s="5" t="s">
        <v>192</v>
      </c>
      <c r="B65" s="5">
        <v>6</v>
      </c>
      <c r="C65" s="5">
        <v>90</v>
      </c>
      <c r="D65" s="5">
        <v>73</v>
      </c>
      <c r="E65" s="5">
        <v>17</v>
      </c>
      <c r="F65" s="5">
        <v>81.099999999999994</v>
      </c>
    </row>
    <row r="66" spans="1:6" x14ac:dyDescent="0.25">
      <c r="A66" s="5" t="s">
        <v>193</v>
      </c>
      <c r="B66" s="5">
        <v>6</v>
      </c>
      <c r="C66" s="5">
        <v>97</v>
      </c>
      <c r="D66" s="5">
        <v>74</v>
      </c>
      <c r="E66" s="5">
        <v>23</v>
      </c>
      <c r="F66" s="5">
        <v>76.3</v>
      </c>
    </row>
    <row r="67" spans="1:6" x14ac:dyDescent="0.25">
      <c r="A67" s="5" t="s">
        <v>194</v>
      </c>
      <c r="B67" s="5">
        <v>7</v>
      </c>
      <c r="C67" s="5">
        <v>141</v>
      </c>
      <c r="D67" s="5">
        <v>132</v>
      </c>
      <c r="E67" s="5">
        <v>9</v>
      </c>
      <c r="F67" s="5">
        <v>93.6</v>
      </c>
    </row>
    <row r="68" spans="1:6" x14ac:dyDescent="0.25">
      <c r="A68" s="5" t="s">
        <v>195</v>
      </c>
      <c r="B68" s="5">
        <v>8</v>
      </c>
      <c r="C68" s="5">
        <v>168</v>
      </c>
      <c r="D68" s="5">
        <v>164</v>
      </c>
      <c r="E68" s="5">
        <v>4</v>
      </c>
      <c r="F68" s="5">
        <v>97.6</v>
      </c>
    </row>
    <row r="69" spans="1:6" x14ac:dyDescent="0.25">
      <c r="A69" s="5" t="s">
        <v>196</v>
      </c>
      <c r="B69" s="5">
        <v>5</v>
      </c>
      <c r="C69" s="5">
        <v>136</v>
      </c>
      <c r="D69" s="5">
        <v>114</v>
      </c>
      <c r="E69" s="5">
        <v>22</v>
      </c>
      <c r="F69" s="5">
        <v>83.8</v>
      </c>
    </row>
    <row r="70" spans="1:6" x14ac:dyDescent="0.25">
      <c r="A70" s="5" t="s">
        <v>198</v>
      </c>
      <c r="B70" s="5">
        <v>5</v>
      </c>
      <c r="C70" s="5">
        <v>145</v>
      </c>
      <c r="D70" s="5">
        <v>136</v>
      </c>
      <c r="E70" s="5">
        <v>9</v>
      </c>
      <c r="F70" s="5">
        <v>93.8</v>
      </c>
    </row>
    <row r="71" spans="1:6" x14ac:dyDescent="0.25">
      <c r="A71" s="5" t="s">
        <v>199</v>
      </c>
      <c r="B71" s="5">
        <v>8</v>
      </c>
      <c r="C71" s="5">
        <v>175</v>
      </c>
      <c r="D71" s="5">
        <v>164</v>
      </c>
      <c r="E71" s="5">
        <v>11</v>
      </c>
      <c r="F71" s="5">
        <v>93.7</v>
      </c>
    </row>
    <row r="72" spans="1:6" x14ac:dyDescent="0.25">
      <c r="A72" s="5" t="s">
        <v>200</v>
      </c>
      <c r="B72" s="5">
        <v>5</v>
      </c>
      <c r="C72" s="5">
        <v>103</v>
      </c>
      <c r="D72" s="5">
        <v>102</v>
      </c>
      <c r="E72" s="5">
        <v>1</v>
      </c>
      <c r="F72" s="5">
        <v>99</v>
      </c>
    </row>
    <row r="73" spans="1:6" x14ac:dyDescent="0.25">
      <c r="A73" s="5" t="s">
        <v>201</v>
      </c>
      <c r="B73" s="5">
        <v>8</v>
      </c>
      <c r="C73" s="5">
        <v>179</v>
      </c>
      <c r="D73" s="5">
        <v>167</v>
      </c>
      <c r="E73" s="5">
        <v>12</v>
      </c>
      <c r="F73" s="5">
        <v>93.3</v>
      </c>
    </row>
    <row r="74" spans="1:6" x14ac:dyDescent="0.25">
      <c r="A74" s="5" t="s">
        <v>202</v>
      </c>
      <c r="B74" s="5">
        <v>5</v>
      </c>
      <c r="C74" s="5">
        <v>117</v>
      </c>
      <c r="D74" s="5">
        <v>110</v>
      </c>
      <c r="E74" s="5">
        <v>7</v>
      </c>
      <c r="F74" s="5">
        <v>94</v>
      </c>
    </row>
    <row r="75" spans="1:6" x14ac:dyDescent="0.25">
      <c r="A75" s="5" t="s">
        <v>203</v>
      </c>
      <c r="B75" s="5">
        <v>6</v>
      </c>
      <c r="C75" s="5">
        <v>176</v>
      </c>
      <c r="D75" s="5">
        <v>175</v>
      </c>
      <c r="E75" s="5">
        <v>1</v>
      </c>
      <c r="F75" s="5">
        <v>99.4</v>
      </c>
    </row>
    <row r="76" spans="1:6" x14ac:dyDescent="0.25">
      <c r="A76" s="5" t="s">
        <v>204</v>
      </c>
      <c r="B76" s="5">
        <v>5</v>
      </c>
      <c r="C76" s="5">
        <v>167</v>
      </c>
      <c r="D76" s="5">
        <v>148</v>
      </c>
      <c r="E76" s="5">
        <v>19</v>
      </c>
      <c r="F76" s="5">
        <v>88.6</v>
      </c>
    </row>
    <row r="77" spans="1:6" x14ac:dyDescent="0.25">
      <c r="A77" s="5" t="s">
        <v>205</v>
      </c>
      <c r="B77" s="5">
        <v>8</v>
      </c>
      <c r="C77" s="5">
        <v>177</v>
      </c>
      <c r="D77" s="5">
        <v>177</v>
      </c>
      <c r="E77" s="5">
        <v>0</v>
      </c>
      <c r="F77" s="5">
        <v>100</v>
      </c>
    </row>
    <row r="78" spans="1:6" x14ac:dyDescent="0.25">
      <c r="A78" s="5" t="s">
        <v>206</v>
      </c>
      <c r="B78" s="5">
        <v>8</v>
      </c>
      <c r="C78" s="5">
        <v>91</v>
      </c>
      <c r="D78" s="5">
        <v>87</v>
      </c>
      <c r="E78" s="5">
        <v>4</v>
      </c>
      <c r="F78" s="5">
        <v>95.6</v>
      </c>
    </row>
    <row r="79" spans="1:6" x14ac:dyDescent="0.25">
      <c r="A79" s="5" t="s">
        <v>207</v>
      </c>
      <c r="B79" s="5">
        <v>8</v>
      </c>
      <c r="C79" s="5">
        <v>115</v>
      </c>
      <c r="D79" s="5">
        <v>107</v>
      </c>
      <c r="E79" s="5">
        <v>8</v>
      </c>
      <c r="F79" s="5">
        <v>93</v>
      </c>
    </row>
    <row r="80" spans="1:6" x14ac:dyDescent="0.25">
      <c r="A80" s="5" t="s">
        <v>208</v>
      </c>
      <c r="B80" s="5">
        <v>8</v>
      </c>
      <c r="C80" s="5">
        <v>103</v>
      </c>
      <c r="D80" s="5">
        <v>87</v>
      </c>
      <c r="E80" s="5">
        <v>16</v>
      </c>
      <c r="F80" s="5">
        <v>84.5</v>
      </c>
    </row>
    <row r="81" spans="1:6" x14ac:dyDescent="0.25">
      <c r="A81" s="5" t="s">
        <v>209</v>
      </c>
      <c r="B81" s="5">
        <v>8</v>
      </c>
      <c r="C81" s="5">
        <v>148</v>
      </c>
      <c r="D81" s="5">
        <v>140</v>
      </c>
      <c r="E81" s="5">
        <v>8</v>
      </c>
      <c r="F81" s="5">
        <v>94.6</v>
      </c>
    </row>
    <row r="82" spans="1:6" x14ac:dyDescent="0.25">
      <c r="A82" s="5" t="s">
        <v>210</v>
      </c>
      <c r="B82" s="5">
        <v>7</v>
      </c>
      <c r="C82" s="5">
        <v>145</v>
      </c>
      <c r="D82" s="5">
        <v>135</v>
      </c>
      <c r="E82" s="5">
        <v>10</v>
      </c>
      <c r="F82" s="5">
        <v>93.1</v>
      </c>
    </row>
    <row r="83" spans="1:6" x14ac:dyDescent="0.25">
      <c r="A83" s="5" t="s">
        <v>211</v>
      </c>
      <c r="B83" s="5">
        <v>7</v>
      </c>
      <c r="C83" s="5">
        <v>96</v>
      </c>
      <c r="D83" s="5">
        <v>82</v>
      </c>
      <c r="E83" s="5">
        <v>14</v>
      </c>
      <c r="F83" s="5">
        <v>85.4</v>
      </c>
    </row>
    <row r="84" spans="1:6" x14ac:dyDescent="0.25">
      <c r="A84" s="5" t="s">
        <v>212</v>
      </c>
      <c r="B84" s="5">
        <v>5</v>
      </c>
      <c r="C84" s="5">
        <v>92</v>
      </c>
      <c r="D84" s="5">
        <v>69</v>
      </c>
      <c r="E84" s="5">
        <v>23</v>
      </c>
      <c r="F84" s="5">
        <v>75</v>
      </c>
    </row>
    <row r="85" spans="1:6" x14ac:dyDescent="0.25">
      <c r="A85" s="5" t="s">
        <v>213</v>
      </c>
      <c r="B85" s="5">
        <v>8</v>
      </c>
      <c r="C85" s="5">
        <v>112</v>
      </c>
      <c r="D85" s="5">
        <v>107</v>
      </c>
      <c r="E85" s="5">
        <v>5</v>
      </c>
      <c r="F85" s="5">
        <v>95.5</v>
      </c>
    </row>
    <row r="86" spans="1:6" x14ac:dyDescent="0.25">
      <c r="A86" s="5" t="s">
        <v>214</v>
      </c>
      <c r="B86" s="5">
        <v>5</v>
      </c>
      <c r="C86" s="5">
        <v>107</v>
      </c>
      <c r="D86" s="5">
        <v>85</v>
      </c>
      <c r="E86" s="5">
        <v>22</v>
      </c>
      <c r="F86" s="5">
        <v>79.400000000000006</v>
      </c>
    </row>
    <row r="87" spans="1:6" x14ac:dyDescent="0.25">
      <c r="A87" s="5" t="s">
        <v>215</v>
      </c>
      <c r="B87" s="5">
        <v>8</v>
      </c>
      <c r="C87" s="5">
        <v>127</v>
      </c>
      <c r="D87" s="5">
        <v>125</v>
      </c>
      <c r="E87" s="5">
        <v>2</v>
      </c>
      <c r="F87" s="5">
        <v>98.4</v>
      </c>
    </row>
    <row r="88" spans="1:6" x14ac:dyDescent="0.25">
      <c r="A88" s="5" t="s">
        <v>216</v>
      </c>
      <c r="B88" s="5">
        <v>8</v>
      </c>
      <c r="C88" s="5">
        <v>104</v>
      </c>
      <c r="D88" s="5">
        <v>88</v>
      </c>
      <c r="E88" s="5">
        <v>16</v>
      </c>
      <c r="F88" s="5">
        <v>84.6</v>
      </c>
    </row>
    <row r="89" spans="1:6" x14ac:dyDescent="0.25">
      <c r="A89" s="5" t="s">
        <v>217</v>
      </c>
      <c r="B89" s="5">
        <v>7</v>
      </c>
      <c r="C89" s="5">
        <v>153</v>
      </c>
      <c r="D89" s="5">
        <v>149</v>
      </c>
      <c r="E89" s="5">
        <v>4</v>
      </c>
      <c r="F89" s="5">
        <v>97.4</v>
      </c>
    </row>
    <row r="90" spans="1:6" x14ac:dyDescent="0.25">
      <c r="A90" s="5" t="s">
        <v>218</v>
      </c>
      <c r="B90" s="5">
        <v>7</v>
      </c>
      <c r="C90" s="5">
        <v>178</v>
      </c>
      <c r="D90" s="5">
        <v>167</v>
      </c>
      <c r="E90" s="5">
        <v>11</v>
      </c>
      <c r="F90" s="5">
        <v>93.8</v>
      </c>
    </row>
    <row r="91" spans="1:6" x14ac:dyDescent="0.25">
      <c r="A91" s="5" t="s">
        <v>219</v>
      </c>
      <c r="B91" s="5">
        <v>6</v>
      </c>
      <c r="C91" s="5">
        <v>117</v>
      </c>
      <c r="D91" s="5">
        <v>100</v>
      </c>
      <c r="E91" s="5">
        <v>17</v>
      </c>
      <c r="F91" s="5">
        <v>85.5</v>
      </c>
    </row>
    <row r="92" spans="1:6" x14ac:dyDescent="0.25">
      <c r="A92" s="5" t="s">
        <v>220</v>
      </c>
      <c r="B92" s="5">
        <v>7</v>
      </c>
      <c r="C92" s="5">
        <v>163</v>
      </c>
      <c r="D92" s="5">
        <v>150</v>
      </c>
      <c r="E92" s="5">
        <v>13</v>
      </c>
      <c r="F92" s="5">
        <v>92</v>
      </c>
    </row>
    <row r="93" spans="1:6" x14ac:dyDescent="0.25">
      <c r="A93" s="5" t="s">
        <v>221</v>
      </c>
      <c r="B93" s="5">
        <v>6</v>
      </c>
      <c r="C93" s="5">
        <v>128</v>
      </c>
      <c r="D93" s="5">
        <v>108</v>
      </c>
      <c r="E93" s="5">
        <v>20</v>
      </c>
      <c r="F93" s="5">
        <v>84.4</v>
      </c>
    </row>
    <row r="94" spans="1:6" x14ac:dyDescent="0.25">
      <c r="A94" s="5" t="s">
        <v>222</v>
      </c>
      <c r="B94" s="5">
        <v>6</v>
      </c>
      <c r="C94" s="5">
        <v>146</v>
      </c>
      <c r="D94" s="5">
        <v>123</v>
      </c>
      <c r="E94" s="5">
        <v>23</v>
      </c>
      <c r="F94" s="5">
        <v>84.2</v>
      </c>
    </row>
    <row r="95" spans="1:6" x14ac:dyDescent="0.25">
      <c r="A95" s="5" t="s">
        <v>223</v>
      </c>
      <c r="B95" s="5">
        <v>6</v>
      </c>
      <c r="C95" s="5">
        <v>106</v>
      </c>
      <c r="D95" s="5">
        <v>96</v>
      </c>
      <c r="E95" s="5">
        <v>10</v>
      </c>
      <c r="F95" s="5">
        <v>90.6</v>
      </c>
    </row>
    <row r="96" spans="1:6" x14ac:dyDescent="0.25">
      <c r="A96" s="5" t="s">
        <v>224</v>
      </c>
      <c r="B96" s="5">
        <v>6</v>
      </c>
      <c r="C96" s="5">
        <v>175</v>
      </c>
      <c r="D96" s="5">
        <v>167</v>
      </c>
      <c r="E96" s="5">
        <v>8</v>
      </c>
      <c r="F96" s="5">
        <v>95.4</v>
      </c>
    </row>
    <row r="97" spans="1:6" x14ac:dyDescent="0.25">
      <c r="A97" s="5" t="s">
        <v>225</v>
      </c>
      <c r="B97" s="5">
        <v>6</v>
      </c>
      <c r="C97" s="5">
        <v>179</v>
      </c>
      <c r="D97" s="5">
        <v>178</v>
      </c>
      <c r="E97" s="5">
        <v>1</v>
      </c>
      <c r="F97" s="5">
        <v>99.4</v>
      </c>
    </row>
    <row r="98" spans="1:6" x14ac:dyDescent="0.25">
      <c r="A98" s="5" t="s">
        <v>226</v>
      </c>
      <c r="B98" s="5">
        <v>5</v>
      </c>
      <c r="C98" s="5">
        <v>133</v>
      </c>
      <c r="D98" s="5">
        <v>122</v>
      </c>
      <c r="E98" s="5">
        <v>11</v>
      </c>
      <c r="F98" s="5">
        <v>91.7</v>
      </c>
    </row>
    <row r="99" spans="1:6" x14ac:dyDescent="0.25">
      <c r="A99" s="5" t="s">
        <v>227</v>
      </c>
      <c r="B99" s="5">
        <v>7</v>
      </c>
      <c r="C99" s="5">
        <v>114</v>
      </c>
      <c r="D99" s="5">
        <v>112</v>
      </c>
      <c r="E99" s="5">
        <v>2</v>
      </c>
      <c r="F99" s="5">
        <v>98.2</v>
      </c>
    </row>
    <row r="100" spans="1:6" x14ac:dyDescent="0.25">
      <c r="A100" s="5" t="s">
        <v>228</v>
      </c>
      <c r="B100" s="5">
        <v>6</v>
      </c>
      <c r="C100" s="5">
        <v>106</v>
      </c>
      <c r="D100" s="5">
        <v>104</v>
      </c>
      <c r="E100" s="5">
        <v>2</v>
      </c>
      <c r="F100" s="5">
        <v>98.1</v>
      </c>
    </row>
    <row r="101" spans="1:6" x14ac:dyDescent="0.25">
      <c r="A101" s="5" t="s">
        <v>229</v>
      </c>
      <c r="B101" s="5">
        <v>8</v>
      </c>
      <c r="C101" s="5">
        <v>102</v>
      </c>
      <c r="D101" s="5">
        <v>102</v>
      </c>
      <c r="E101" s="5">
        <v>0</v>
      </c>
      <c r="F101" s="5">
        <v>100</v>
      </c>
    </row>
    <row r="102" spans="1:6" x14ac:dyDescent="0.25">
      <c r="A102" s="5" t="s">
        <v>230</v>
      </c>
      <c r="B102" s="5">
        <v>7</v>
      </c>
      <c r="C102" s="5">
        <v>173</v>
      </c>
      <c r="D102" s="5">
        <v>166</v>
      </c>
      <c r="E102" s="5">
        <v>7</v>
      </c>
      <c r="F102" s="5">
        <v>96</v>
      </c>
    </row>
    <row r="103" spans="1:6" x14ac:dyDescent="0.25">
      <c r="A103" s="5" t="s">
        <v>231</v>
      </c>
      <c r="B103" s="5">
        <v>7</v>
      </c>
      <c r="C103" s="5">
        <v>114</v>
      </c>
      <c r="D103" s="5">
        <v>93</v>
      </c>
      <c r="E103" s="5">
        <v>21</v>
      </c>
      <c r="F103" s="5">
        <v>81.599999999999994</v>
      </c>
    </row>
    <row r="104" spans="1:6" x14ac:dyDescent="0.25">
      <c r="A104" s="5" t="s">
        <v>232</v>
      </c>
      <c r="B104" s="5">
        <v>6</v>
      </c>
      <c r="C104" s="5">
        <v>157</v>
      </c>
      <c r="D104" s="5">
        <v>150</v>
      </c>
      <c r="E104" s="5">
        <v>7</v>
      </c>
      <c r="F104" s="5">
        <v>95.5</v>
      </c>
    </row>
    <row r="105" spans="1:6" x14ac:dyDescent="0.25">
      <c r="A105" s="5" t="s">
        <v>233</v>
      </c>
      <c r="B105" s="5">
        <v>5</v>
      </c>
      <c r="C105" s="5">
        <v>99</v>
      </c>
      <c r="D105" s="5">
        <v>89</v>
      </c>
      <c r="E105" s="5">
        <v>10</v>
      </c>
      <c r="F105" s="5">
        <v>89.9</v>
      </c>
    </row>
    <row r="106" spans="1:6" x14ac:dyDescent="0.25">
      <c r="A106" s="5" t="s">
        <v>234</v>
      </c>
      <c r="B106" s="5">
        <v>6</v>
      </c>
      <c r="C106" s="5">
        <v>156</v>
      </c>
      <c r="D106" s="5">
        <v>148</v>
      </c>
      <c r="E106" s="5">
        <v>8</v>
      </c>
      <c r="F106" s="5">
        <v>94.9</v>
      </c>
    </row>
    <row r="107" spans="1:6" x14ac:dyDescent="0.25">
      <c r="A107" s="5" t="s">
        <v>235</v>
      </c>
      <c r="B107" s="5">
        <v>5</v>
      </c>
      <c r="C107" s="5">
        <v>107</v>
      </c>
      <c r="D107" s="5">
        <v>103</v>
      </c>
      <c r="E107" s="5">
        <v>4</v>
      </c>
      <c r="F107" s="5">
        <v>96.3</v>
      </c>
    </row>
    <row r="108" spans="1:6" x14ac:dyDescent="0.25">
      <c r="A108" s="5" t="s">
        <v>236</v>
      </c>
      <c r="B108" s="5">
        <v>8</v>
      </c>
      <c r="C108" s="5">
        <v>175</v>
      </c>
      <c r="D108" s="5">
        <v>162</v>
      </c>
      <c r="E108" s="5">
        <v>13</v>
      </c>
      <c r="F108" s="5">
        <v>92.6</v>
      </c>
    </row>
    <row r="109" spans="1:6" x14ac:dyDescent="0.25">
      <c r="A109" s="5" t="s">
        <v>237</v>
      </c>
      <c r="B109" s="5">
        <v>7</v>
      </c>
      <c r="C109" s="5">
        <v>123</v>
      </c>
      <c r="D109" s="5">
        <v>121</v>
      </c>
      <c r="E109" s="5">
        <v>2</v>
      </c>
      <c r="F109" s="5">
        <v>98.4</v>
      </c>
    </row>
    <row r="110" spans="1:6" x14ac:dyDescent="0.25">
      <c r="A110" s="5" t="s">
        <v>238</v>
      </c>
      <c r="B110" s="5">
        <v>8</v>
      </c>
      <c r="C110" s="5">
        <v>97</v>
      </c>
      <c r="D110" s="5">
        <v>77</v>
      </c>
      <c r="E110" s="5">
        <v>20</v>
      </c>
      <c r="F110" s="5">
        <v>79.400000000000006</v>
      </c>
    </row>
    <row r="111" spans="1:6" x14ac:dyDescent="0.25">
      <c r="A111" s="5" t="s">
        <v>239</v>
      </c>
      <c r="B111" s="5">
        <v>5</v>
      </c>
      <c r="C111" s="5">
        <v>129</v>
      </c>
      <c r="D111" s="5">
        <v>125</v>
      </c>
      <c r="E111" s="5">
        <v>4</v>
      </c>
      <c r="F111" s="5">
        <v>96.9</v>
      </c>
    </row>
    <row r="112" spans="1:6" x14ac:dyDescent="0.25">
      <c r="A112" s="5" t="s">
        <v>240</v>
      </c>
      <c r="B112" s="5">
        <v>5</v>
      </c>
      <c r="C112" s="5">
        <v>172</v>
      </c>
      <c r="D112" s="5">
        <v>168</v>
      </c>
      <c r="E112" s="5">
        <v>4</v>
      </c>
      <c r="F112" s="5">
        <v>97.7</v>
      </c>
    </row>
    <row r="113" spans="1:6" x14ac:dyDescent="0.25">
      <c r="A113" s="5" t="s">
        <v>241</v>
      </c>
      <c r="B113" s="5">
        <v>8</v>
      </c>
      <c r="C113" s="5">
        <v>131</v>
      </c>
      <c r="D113" s="5">
        <v>113</v>
      </c>
      <c r="E113" s="5">
        <v>18</v>
      </c>
      <c r="F113" s="5">
        <v>86.3</v>
      </c>
    </row>
    <row r="114" spans="1:6" x14ac:dyDescent="0.25">
      <c r="A114" s="5" t="s">
        <v>242</v>
      </c>
      <c r="B114" s="5">
        <v>5</v>
      </c>
      <c r="C114" s="5">
        <v>130</v>
      </c>
      <c r="D114" s="5">
        <v>117</v>
      </c>
      <c r="E114" s="5">
        <v>13</v>
      </c>
      <c r="F114" s="5">
        <v>90</v>
      </c>
    </row>
    <row r="115" spans="1:6" x14ac:dyDescent="0.25">
      <c r="A115" s="5" t="s">
        <v>243</v>
      </c>
      <c r="B115" s="5">
        <v>8</v>
      </c>
      <c r="C115" s="5">
        <v>95</v>
      </c>
      <c r="D115" s="5">
        <v>92</v>
      </c>
      <c r="E115" s="5">
        <v>3</v>
      </c>
      <c r="F115" s="5">
        <v>96.8</v>
      </c>
    </row>
    <row r="116" spans="1:6" x14ac:dyDescent="0.25">
      <c r="A116" s="5" t="s">
        <v>244</v>
      </c>
      <c r="B116" s="5">
        <v>7</v>
      </c>
      <c r="C116" s="5">
        <v>141</v>
      </c>
      <c r="D116" s="5">
        <v>129</v>
      </c>
      <c r="E116" s="5">
        <v>12</v>
      </c>
      <c r="F116" s="5">
        <v>91.5</v>
      </c>
    </row>
    <row r="117" spans="1:6" x14ac:dyDescent="0.25">
      <c r="A117" s="5" t="s">
        <v>245</v>
      </c>
      <c r="B117" s="5">
        <v>8</v>
      </c>
      <c r="C117" s="5">
        <v>115</v>
      </c>
      <c r="D117" s="5">
        <v>106</v>
      </c>
      <c r="E117" s="5">
        <v>9</v>
      </c>
      <c r="F117" s="5">
        <v>92.2</v>
      </c>
    </row>
    <row r="118" spans="1:6" x14ac:dyDescent="0.25">
      <c r="A118" s="5" t="s">
        <v>246</v>
      </c>
      <c r="B118" s="5">
        <v>7</v>
      </c>
      <c r="C118" s="5">
        <v>153</v>
      </c>
      <c r="D118" s="5">
        <v>136</v>
      </c>
      <c r="E118" s="5">
        <v>17</v>
      </c>
      <c r="F118" s="5">
        <v>88.9</v>
      </c>
    </row>
    <row r="119" spans="1:6" x14ac:dyDescent="0.25">
      <c r="A119" s="5" t="s">
        <v>247</v>
      </c>
      <c r="B119" s="5">
        <v>8</v>
      </c>
      <c r="C119" s="5">
        <v>148</v>
      </c>
      <c r="D119" s="5">
        <v>141</v>
      </c>
      <c r="E119" s="5">
        <v>7</v>
      </c>
      <c r="F119" s="5">
        <v>95.3</v>
      </c>
    </row>
    <row r="120" spans="1:6" x14ac:dyDescent="0.25">
      <c r="A120" s="5" t="s">
        <v>248</v>
      </c>
      <c r="B120" s="5">
        <v>5</v>
      </c>
      <c r="C120" s="5">
        <v>145</v>
      </c>
      <c r="D120" s="5">
        <v>138</v>
      </c>
      <c r="E120" s="5">
        <v>7</v>
      </c>
      <c r="F120" s="5">
        <v>95.2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60BC-31EC-4E06-A285-39CCF619482E}">
  <dimension ref="A1:F119"/>
  <sheetViews>
    <sheetView workbookViewId="0">
      <selection activeCell="D1" sqref="D1:D1048576"/>
    </sheetView>
  </sheetViews>
  <sheetFormatPr defaultRowHeight="15" x14ac:dyDescent="0.25"/>
  <cols>
    <col min="1" max="1" width="14.85546875" customWidth="1"/>
    <col min="3" max="3" width="14" customWidth="1"/>
    <col min="4" max="4" width="22.85546875" style="10" customWidth="1"/>
    <col min="6" max="6" width="16.140625" customWidth="1"/>
    <col min="7" max="7" width="15" customWidth="1"/>
    <col min="8" max="8" width="16.5703125" customWidth="1"/>
    <col min="9" max="9" width="20.5703125" customWidth="1"/>
  </cols>
  <sheetData>
    <row r="1" spans="1:6" x14ac:dyDescent="0.25">
      <c r="A1" s="4" t="s">
        <v>7</v>
      </c>
      <c r="B1" s="4" t="s">
        <v>18</v>
      </c>
      <c r="C1" s="4" t="s">
        <v>57</v>
      </c>
      <c r="D1" s="9" t="s">
        <v>69</v>
      </c>
      <c r="E1" s="4" t="s">
        <v>61</v>
      </c>
      <c r="F1" s="4" t="s">
        <v>65</v>
      </c>
    </row>
    <row r="2" spans="1:6" x14ac:dyDescent="0.25">
      <c r="A2" s="5" t="s">
        <v>90</v>
      </c>
      <c r="B2" s="5">
        <v>8</v>
      </c>
      <c r="C2" s="5" t="s">
        <v>251</v>
      </c>
      <c r="D2" s="6">
        <v>46076</v>
      </c>
      <c r="E2" s="5">
        <v>92</v>
      </c>
      <c r="F2" s="5" t="s">
        <v>252</v>
      </c>
    </row>
    <row r="3" spans="1:6" x14ac:dyDescent="0.25">
      <c r="A3" s="5" t="s">
        <v>95</v>
      </c>
      <c r="B3" s="5">
        <v>5</v>
      </c>
      <c r="C3" s="5" t="s">
        <v>253</v>
      </c>
      <c r="D3" s="6">
        <v>46051</v>
      </c>
      <c r="E3" s="5">
        <v>85</v>
      </c>
      <c r="F3" s="5" t="s">
        <v>252</v>
      </c>
    </row>
    <row r="4" spans="1:6" x14ac:dyDescent="0.25">
      <c r="A4" s="5" t="s">
        <v>100</v>
      </c>
      <c r="B4" s="5">
        <v>7</v>
      </c>
      <c r="C4" s="5" t="s">
        <v>251</v>
      </c>
      <c r="D4" s="6">
        <v>46057</v>
      </c>
      <c r="E4" s="5">
        <v>80</v>
      </c>
      <c r="F4" s="5" t="s">
        <v>252</v>
      </c>
    </row>
    <row r="5" spans="1:6" x14ac:dyDescent="0.25">
      <c r="A5" s="5" t="s">
        <v>103</v>
      </c>
      <c r="B5" s="5">
        <v>8</v>
      </c>
      <c r="C5" s="5" t="s">
        <v>254</v>
      </c>
      <c r="D5" s="6">
        <v>46083</v>
      </c>
      <c r="E5" s="5">
        <v>86</v>
      </c>
      <c r="F5" s="5" t="s">
        <v>252</v>
      </c>
    </row>
    <row r="6" spans="1:6" x14ac:dyDescent="0.25">
      <c r="A6" s="5" t="s">
        <v>106</v>
      </c>
      <c r="B6" s="5">
        <v>5</v>
      </c>
      <c r="C6" s="5" t="s">
        <v>253</v>
      </c>
      <c r="D6" s="6">
        <v>46109</v>
      </c>
      <c r="E6" s="5">
        <v>82</v>
      </c>
      <c r="F6" s="5" t="s">
        <v>252</v>
      </c>
    </row>
    <row r="7" spans="1:6" x14ac:dyDescent="0.25">
      <c r="A7" s="5" t="s">
        <v>249</v>
      </c>
      <c r="B7" s="5">
        <v>5</v>
      </c>
      <c r="C7" s="5" t="s">
        <v>254</v>
      </c>
      <c r="D7" s="6">
        <v>46089</v>
      </c>
      <c r="E7" s="5">
        <v>79</v>
      </c>
      <c r="F7" s="5" t="s">
        <v>252</v>
      </c>
    </row>
    <row r="8" spans="1:6" x14ac:dyDescent="0.25">
      <c r="A8" s="5" t="s">
        <v>109</v>
      </c>
      <c r="B8" s="5">
        <v>6</v>
      </c>
      <c r="C8" s="5" t="s">
        <v>251</v>
      </c>
      <c r="D8" s="6">
        <v>46045</v>
      </c>
      <c r="E8" s="5">
        <v>58</v>
      </c>
      <c r="F8" s="5" t="s">
        <v>255</v>
      </c>
    </row>
    <row r="9" spans="1:6" x14ac:dyDescent="0.25">
      <c r="A9" s="5" t="s">
        <v>113</v>
      </c>
      <c r="B9" s="5">
        <v>7</v>
      </c>
      <c r="C9" s="5" t="s">
        <v>251</v>
      </c>
      <c r="D9" s="6">
        <v>46088</v>
      </c>
      <c r="E9" s="5">
        <v>70</v>
      </c>
      <c r="F9" s="5" t="s">
        <v>252</v>
      </c>
    </row>
    <row r="10" spans="1:6" x14ac:dyDescent="0.25">
      <c r="A10" s="5" t="s">
        <v>114</v>
      </c>
      <c r="B10" s="5">
        <v>6</v>
      </c>
      <c r="C10" s="5" t="s">
        <v>254</v>
      </c>
      <c r="D10" s="6">
        <v>46093</v>
      </c>
      <c r="E10" s="5">
        <v>89</v>
      </c>
      <c r="F10" s="5" t="s">
        <v>252</v>
      </c>
    </row>
    <row r="11" spans="1:6" x14ac:dyDescent="0.25">
      <c r="A11" s="5" t="s">
        <v>116</v>
      </c>
      <c r="B11" s="5">
        <v>6</v>
      </c>
      <c r="C11" s="5" t="s">
        <v>254</v>
      </c>
      <c r="D11" s="6">
        <v>46062</v>
      </c>
      <c r="E11" s="5">
        <v>90</v>
      </c>
      <c r="F11" s="5" t="s">
        <v>252</v>
      </c>
    </row>
    <row r="12" spans="1:6" x14ac:dyDescent="0.25">
      <c r="A12" s="5" t="s">
        <v>117</v>
      </c>
      <c r="B12" s="5">
        <v>7</v>
      </c>
      <c r="C12" s="5" t="s">
        <v>254</v>
      </c>
      <c r="D12" s="6">
        <v>46077</v>
      </c>
      <c r="E12" s="5">
        <v>68</v>
      </c>
      <c r="F12" s="5" t="s">
        <v>255</v>
      </c>
    </row>
    <row r="13" spans="1:6" x14ac:dyDescent="0.25">
      <c r="A13" s="5" t="s">
        <v>121</v>
      </c>
      <c r="B13" s="5">
        <v>7</v>
      </c>
      <c r="C13" s="5" t="s">
        <v>254</v>
      </c>
      <c r="D13" s="6">
        <v>46071</v>
      </c>
      <c r="E13" s="5">
        <v>87</v>
      </c>
      <c r="F13" s="5" t="s">
        <v>252</v>
      </c>
    </row>
    <row r="14" spans="1:6" x14ac:dyDescent="0.25">
      <c r="A14" s="5" t="s">
        <v>124</v>
      </c>
      <c r="B14" s="5">
        <v>8</v>
      </c>
      <c r="C14" s="5" t="s">
        <v>251</v>
      </c>
      <c r="D14" s="6">
        <v>46099</v>
      </c>
      <c r="E14" s="5">
        <v>72</v>
      </c>
      <c r="F14" s="5" t="s">
        <v>252</v>
      </c>
    </row>
    <row r="15" spans="1:6" x14ac:dyDescent="0.25">
      <c r="A15" s="5" t="s">
        <v>127</v>
      </c>
      <c r="B15" s="5">
        <v>8</v>
      </c>
      <c r="C15" s="5" t="s">
        <v>251</v>
      </c>
      <c r="D15" s="6">
        <v>46061</v>
      </c>
      <c r="E15" s="5">
        <v>72</v>
      </c>
      <c r="F15" s="5" t="s">
        <v>252</v>
      </c>
    </row>
    <row r="16" spans="1:6" x14ac:dyDescent="0.25">
      <c r="A16" s="5" t="s">
        <v>130</v>
      </c>
      <c r="B16" s="5">
        <v>6</v>
      </c>
      <c r="C16" s="5" t="s">
        <v>253</v>
      </c>
      <c r="D16" s="6">
        <v>46126</v>
      </c>
      <c r="E16" s="5">
        <v>79</v>
      </c>
      <c r="F16" s="5" t="s">
        <v>252</v>
      </c>
    </row>
    <row r="17" spans="1:6" x14ac:dyDescent="0.25">
      <c r="A17" s="5" t="s">
        <v>132</v>
      </c>
      <c r="B17" s="5">
        <v>8</v>
      </c>
      <c r="C17" s="5" t="s">
        <v>253</v>
      </c>
      <c r="D17" s="6">
        <v>46111</v>
      </c>
      <c r="E17" s="5">
        <v>79</v>
      </c>
      <c r="F17" s="5" t="s">
        <v>252</v>
      </c>
    </row>
    <row r="18" spans="1:6" x14ac:dyDescent="0.25">
      <c r="A18" s="5" t="s">
        <v>135</v>
      </c>
      <c r="B18" s="5">
        <v>5</v>
      </c>
      <c r="C18" s="5" t="s">
        <v>254</v>
      </c>
      <c r="D18" s="6">
        <v>46074</v>
      </c>
      <c r="E18" s="5">
        <v>76</v>
      </c>
      <c r="F18" s="5" t="s">
        <v>252</v>
      </c>
    </row>
    <row r="19" spans="1:6" x14ac:dyDescent="0.25">
      <c r="A19" s="5" t="s">
        <v>136</v>
      </c>
      <c r="B19" s="5">
        <v>8</v>
      </c>
      <c r="C19" s="5" t="s">
        <v>251</v>
      </c>
      <c r="D19" s="6">
        <v>46038</v>
      </c>
      <c r="E19" s="5">
        <v>60</v>
      </c>
      <c r="F19" s="5" t="s">
        <v>255</v>
      </c>
    </row>
    <row r="20" spans="1:6" x14ac:dyDescent="0.25">
      <c r="A20" s="5" t="s">
        <v>139</v>
      </c>
      <c r="B20" s="5">
        <v>5</v>
      </c>
      <c r="C20" s="5" t="s">
        <v>251</v>
      </c>
      <c r="D20" s="6">
        <v>46118</v>
      </c>
      <c r="E20" s="5">
        <v>100</v>
      </c>
      <c r="F20" s="5" t="s">
        <v>252</v>
      </c>
    </row>
    <row r="21" spans="1:6" x14ac:dyDescent="0.25">
      <c r="A21" s="5" t="s">
        <v>141</v>
      </c>
      <c r="B21" s="5">
        <v>6</v>
      </c>
      <c r="C21" s="5" t="s">
        <v>253</v>
      </c>
      <c r="D21" s="6">
        <v>46070</v>
      </c>
      <c r="E21" s="5">
        <v>43</v>
      </c>
      <c r="F21" s="5" t="s">
        <v>255</v>
      </c>
    </row>
    <row r="22" spans="1:6" x14ac:dyDescent="0.25">
      <c r="A22" s="5" t="s">
        <v>143</v>
      </c>
      <c r="B22" s="5">
        <v>5</v>
      </c>
      <c r="C22" s="5" t="s">
        <v>253</v>
      </c>
      <c r="D22" s="6">
        <v>46053</v>
      </c>
      <c r="E22" s="5">
        <v>86</v>
      </c>
      <c r="F22" s="5" t="s">
        <v>252</v>
      </c>
    </row>
    <row r="23" spans="1:6" x14ac:dyDescent="0.25">
      <c r="A23" s="5" t="s">
        <v>144</v>
      </c>
      <c r="B23" s="5">
        <v>8</v>
      </c>
      <c r="C23" s="5" t="s">
        <v>251</v>
      </c>
      <c r="D23" s="6">
        <v>46079</v>
      </c>
      <c r="E23" s="5">
        <v>89</v>
      </c>
      <c r="F23" s="5" t="s">
        <v>252</v>
      </c>
    </row>
    <row r="24" spans="1:6" x14ac:dyDescent="0.25">
      <c r="A24" s="5" t="s">
        <v>145</v>
      </c>
      <c r="B24" s="5">
        <v>6</v>
      </c>
      <c r="C24" s="5" t="s">
        <v>251</v>
      </c>
      <c r="D24" s="6">
        <v>46095</v>
      </c>
      <c r="E24" s="5">
        <v>60</v>
      </c>
      <c r="F24" s="5" t="s">
        <v>255</v>
      </c>
    </row>
    <row r="25" spans="1:6" x14ac:dyDescent="0.25">
      <c r="A25" s="5" t="s">
        <v>147</v>
      </c>
      <c r="B25" s="5">
        <v>8</v>
      </c>
      <c r="C25" s="5" t="s">
        <v>251</v>
      </c>
      <c r="D25" s="6">
        <v>46087</v>
      </c>
      <c r="E25" s="5">
        <v>70</v>
      </c>
      <c r="F25" s="5" t="s">
        <v>252</v>
      </c>
    </row>
    <row r="26" spans="1:6" x14ac:dyDescent="0.25">
      <c r="A26" s="5" t="s">
        <v>149</v>
      </c>
      <c r="B26" s="5">
        <v>5</v>
      </c>
      <c r="C26" s="5" t="s">
        <v>253</v>
      </c>
      <c r="D26" s="6">
        <v>46090</v>
      </c>
      <c r="E26" s="5">
        <v>64</v>
      </c>
      <c r="F26" s="5" t="s">
        <v>255</v>
      </c>
    </row>
    <row r="27" spans="1:6" x14ac:dyDescent="0.25">
      <c r="A27" s="5" t="s">
        <v>150</v>
      </c>
      <c r="B27" s="5">
        <v>5</v>
      </c>
      <c r="C27" s="5" t="s">
        <v>251</v>
      </c>
      <c r="D27" s="6">
        <v>46060</v>
      </c>
      <c r="E27" s="5">
        <v>98</v>
      </c>
      <c r="F27" s="5" t="s">
        <v>252</v>
      </c>
    </row>
    <row r="28" spans="1:6" x14ac:dyDescent="0.25">
      <c r="A28" s="5" t="s">
        <v>151</v>
      </c>
      <c r="B28" s="5">
        <v>8</v>
      </c>
      <c r="C28" s="5" t="s">
        <v>251</v>
      </c>
      <c r="D28" s="6">
        <v>46061</v>
      </c>
      <c r="E28" s="5">
        <v>89</v>
      </c>
      <c r="F28" s="5" t="s">
        <v>252</v>
      </c>
    </row>
    <row r="29" spans="1:6" x14ac:dyDescent="0.25">
      <c r="A29" s="5" t="s">
        <v>153</v>
      </c>
      <c r="B29" s="5">
        <v>7</v>
      </c>
      <c r="C29" s="5" t="s">
        <v>254</v>
      </c>
      <c r="D29" s="6">
        <v>46107</v>
      </c>
      <c r="E29" s="5">
        <v>90</v>
      </c>
      <c r="F29" s="5" t="s">
        <v>256</v>
      </c>
    </row>
    <row r="30" spans="1:6" x14ac:dyDescent="0.25">
      <c r="A30" s="5" t="s">
        <v>154</v>
      </c>
      <c r="B30" s="5">
        <v>7</v>
      </c>
      <c r="C30" s="5" t="s">
        <v>254</v>
      </c>
      <c r="D30" s="6">
        <v>46088</v>
      </c>
      <c r="E30" s="5">
        <v>77</v>
      </c>
      <c r="F30" s="5" t="s">
        <v>252</v>
      </c>
    </row>
    <row r="31" spans="1:6" x14ac:dyDescent="0.25">
      <c r="A31" s="5" t="s">
        <v>155</v>
      </c>
      <c r="B31" s="5">
        <v>5</v>
      </c>
      <c r="C31" s="5" t="s">
        <v>253</v>
      </c>
      <c r="D31" s="6">
        <v>46106</v>
      </c>
      <c r="E31" s="5">
        <v>92</v>
      </c>
      <c r="F31" s="5" t="s">
        <v>252</v>
      </c>
    </row>
    <row r="32" spans="1:6" x14ac:dyDescent="0.25">
      <c r="A32" s="5" t="s">
        <v>157</v>
      </c>
      <c r="B32" s="5">
        <v>5</v>
      </c>
      <c r="C32" s="5" t="s">
        <v>251</v>
      </c>
      <c r="D32" s="6">
        <v>46124</v>
      </c>
      <c r="E32" s="5">
        <v>76</v>
      </c>
      <c r="F32" s="5" t="s">
        <v>252</v>
      </c>
    </row>
    <row r="33" spans="1:6" x14ac:dyDescent="0.25">
      <c r="A33" s="5" t="s">
        <v>158</v>
      </c>
      <c r="B33" s="5">
        <v>7</v>
      </c>
      <c r="C33" s="5" t="s">
        <v>251</v>
      </c>
      <c r="D33" s="6">
        <v>46069</v>
      </c>
      <c r="E33" s="5">
        <v>92</v>
      </c>
      <c r="F33" s="5" t="s">
        <v>252</v>
      </c>
    </row>
    <row r="34" spans="1:6" x14ac:dyDescent="0.25">
      <c r="A34" s="5" t="s">
        <v>160</v>
      </c>
      <c r="B34" s="5">
        <v>7</v>
      </c>
      <c r="C34" s="5" t="s">
        <v>254</v>
      </c>
      <c r="D34" s="6">
        <v>46085</v>
      </c>
      <c r="E34" s="5">
        <v>74</v>
      </c>
      <c r="F34" s="5" t="s">
        <v>252</v>
      </c>
    </row>
    <row r="35" spans="1:6" x14ac:dyDescent="0.25">
      <c r="A35" s="5" t="s">
        <v>161</v>
      </c>
      <c r="B35" s="5">
        <v>8</v>
      </c>
      <c r="C35" s="5" t="s">
        <v>253</v>
      </c>
      <c r="D35" s="6">
        <v>46065</v>
      </c>
      <c r="E35" s="5">
        <v>68</v>
      </c>
      <c r="F35" s="5" t="s">
        <v>255</v>
      </c>
    </row>
    <row r="36" spans="1:6" x14ac:dyDescent="0.25">
      <c r="A36" s="5" t="s">
        <v>163</v>
      </c>
      <c r="B36" s="5">
        <v>8</v>
      </c>
      <c r="C36" s="5" t="s">
        <v>254</v>
      </c>
      <c r="D36" s="6">
        <v>46099</v>
      </c>
      <c r="E36" s="5">
        <v>98</v>
      </c>
      <c r="F36" s="5" t="s">
        <v>252</v>
      </c>
    </row>
    <row r="37" spans="1:6" x14ac:dyDescent="0.25">
      <c r="A37" s="5" t="s">
        <v>164</v>
      </c>
      <c r="B37" s="5">
        <v>7</v>
      </c>
      <c r="C37" s="5" t="s">
        <v>254</v>
      </c>
      <c r="D37" s="6">
        <v>46058</v>
      </c>
      <c r="E37" s="5">
        <v>76</v>
      </c>
      <c r="F37" s="5" t="s">
        <v>252</v>
      </c>
    </row>
    <row r="38" spans="1:6" x14ac:dyDescent="0.25">
      <c r="A38" s="5" t="s">
        <v>165</v>
      </c>
      <c r="B38" s="5">
        <v>8</v>
      </c>
      <c r="C38" s="5" t="s">
        <v>254</v>
      </c>
      <c r="D38" s="6">
        <v>46062</v>
      </c>
      <c r="E38" s="5">
        <v>65</v>
      </c>
      <c r="F38" s="5" t="s">
        <v>255</v>
      </c>
    </row>
    <row r="39" spans="1:6" x14ac:dyDescent="0.25">
      <c r="A39" s="5" t="s">
        <v>166</v>
      </c>
      <c r="B39" s="5">
        <v>8</v>
      </c>
      <c r="C39" s="5" t="s">
        <v>254</v>
      </c>
      <c r="D39" s="6">
        <v>46064</v>
      </c>
      <c r="E39" s="5">
        <v>65</v>
      </c>
      <c r="F39" s="5" t="s">
        <v>255</v>
      </c>
    </row>
    <row r="40" spans="1:6" x14ac:dyDescent="0.25">
      <c r="A40" s="5" t="s">
        <v>167</v>
      </c>
      <c r="B40" s="5">
        <v>6</v>
      </c>
      <c r="C40" s="5" t="s">
        <v>251</v>
      </c>
      <c r="D40" s="6">
        <v>46121</v>
      </c>
      <c r="E40" s="5">
        <v>65</v>
      </c>
      <c r="F40" s="5" t="s">
        <v>255</v>
      </c>
    </row>
    <row r="41" spans="1:6" x14ac:dyDescent="0.25">
      <c r="A41" s="5" t="s">
        <v>169</v>
      </c>
      <c r="B41" s="5">
        <v>8</v>
      </c>
      <c r="C41" s="5" t="s">
        <v>251</v>
      </c>
      <c r="D41" s="6">
        <v>46085</v>
      </c>
      <c r="E41" s="5">
        <v>86</v>
      </c>
      <c r="F41" s="5" t="s">
        <v>252</v>
      </c>
    </row>
    <row r="42" spans="1:6" x14ac:dyDescent="0.25">
      <c r="A42" s="5" t="s">
        <v>170</v>
      </c>
      <c r="B42" s="5">
        <v>5</v>
      </c>
      <c r="C42" s="5" t="s">
        <v>254</v>
      </c>
      <c r="D42" s="6">
        <v>46107</v>
      </c>
      <c r="E42" s="5">
        <v>75</v>
      </c>
      <c r="F42" s="5" t="s">
        <v>252</v>
      </c>
    </row>
    <row r="43" spans="1:6" x14ac:dyDescent="0.25">
      <c r="A43" s="5" t="s">
        <v>171</v>
      </c>
      <c r="B43" s="5">
        <v>8</v>
      </c>
      <c r="C43" s="5" t="s">
        <v>253</v>
      </c>
      <c r="D43" s="6">
        <v>46117</v>
      </c>
      <c r="E43" s="5">
        <v>100</v>
      </c>
      <c r="F43" s="5" t="s">
        <v>252</v>
      </c>
    </row>
    <row r="44" spans="1:6" x14ac:dyDescent="0.25">
      <c r="A44" s="5" t="s">
        <v>257</v>
      </c>
      <c r="B44" s="5">
        <v>8</v>
      </c>
      <c r="C44" s="5" t="s">
        <v>253</v>
      </c>
      <c r="D44" s="6">
        <v>46120</v>
      </c>
      <c r="E44" s="5">
        <v>90</v>
      </c>
      <c r="F44" s="5" t="s">
        <v>252</v>
      </c>
    </row>
    <row r="45" spans="1:6" x14ac:dyDescent="0.25">
      <c r="A45" s="5" t="s">
        <v>173</v>
      </c>
      <c r="B45" s="5">
        <v>7</v>
      </c>
      <c r="C45" s="5" t="s">
        <v>253</v>
      </c>
      <c r="D45" s="6">
        <v>46085</v>
      </c>
      <c r="E45" s="5">
        <v>79</v>
      </c>
      <c r="F45" s="5" t="s">
        <v>252</v>
      </c>
    </row>
    <row r="46" spans="1:6" x14ac:dyDescent="0.25">
      <c r="A46" s="5" t="s">
        <v>174</v>
      </c>
      <c r="B46" s="5">
        <v>5</v>
      </c>
      <c r="C46" s="5" t="s">
        <v>253</v>
      </c>
      <c r="D46" s="6">
        <v>46056</v>
      </c>
      <c r="E46" s="5">
        <v>93</v>
      </c>
      <c r="F46" s="5" t="s">
        <v>252</v>
      </c>
    </row>
    <row r="47" spans="1:6" x14ac:dyDescent="0.25">
      <c r="A47" s="5" t="s">
        <v>175</v>
      </c>
      <c r="B47" s="5">
        <v>8</v>
      </c>
      <c r="C47" s="5" t="s">
        <v>254</v>
      </c>
      <c r="D47" s="6">
        <v>46122</v>
      </c>
      <c r="E47" s="5">
        <v>70</v>
      </c>
      <c r="F47" s="5" t="s">
        <v>252</v>
      </c>
    </row>
    <row r="48" spans="1:6" x14ac:dyDescent="0.25">
      <c r="A48" s="5" t="s">
        <v>176</v>
      </c>
      <c r="B48" s="5">
        <v>8</v>
      </c>
      <c r="C48" s="5" t="s">
        <v>251</v>
      </c>
      <c r="D48" s="6">
        <v>46099</v>
      </c>
      <c r="E48" s="5">
        <v>54</v>
      </c>
      <c r="F48" s="5" t="s">
        <v>255</v>
      </c>
    </row>
    <row r="49" spans="1:6" x14ac:dyDescent="0.25">
      <c r="A49" s="5" t="s">
        <v>177</v>
      </c>
      <c r="B49" s="5">
        <v>6</v>
      </c>
      <c r="C49" s="5" t="s">
        <v>253</v>
      </c>
      <c r="D49" s="6">
        <v>46097</v>
      </c>
      <c r="E49" s="5">
        <v>64</v>
      </c>
      <c r="F49" s="5" t="s">
        <v>255</v>
      </c>
    </row>
    <row r="50" spans="1:6" x14ac:dyDescent="0.25">
      <c r="A50" s="5" t="s">
        <v>178</v>
      </c>
      <c r="B50" s="5">
        <v>8</v>
      </c>
      <c r="C50" s="5" t="s">
        <v>254</v>
      </c>
      <c r="D50" s="6">
        <v>46085</v>
      </c>
      <c r="E50" s="5">
        <v>78</v>
      </c>
      <c r="F50" s="5" t="s">
        <v>252</v>
      </c>
    </row>
    <row r="51" spans="1:6" x14ac:dyDescent="0.25">
      <c r="A51" s="5" t="s">
        <v>179</v>
      </c>
      <c r="B51" s="5">
        <v>8</v>
      </c>
      <c r="C51" s="5" t="s">
        <v>253</v>
      </c>
      <c r="D51" s="6">
        <v>46107</v>
      </c>
      <c r="E51" s="5">
        <v>73</v>
      </c>
      <c r="F51" s="5" t="s">
        <v>252</v>
      </c>
    </row>
    <row r="52" spans="1:6" x14ac:dyDescent="0.25">
      <c r="A52" s="5" t="s">
        <v>180</v>
      </c>
      <c r="B52" s="5">
        <v>6</v>
      </c>
      <c r="C52" s="5" t="s">
        <v>253</v>
      </c>
      <c r="D52" s="6">
        <v>46037</v>
      </c>
      <c r="E52" s="5">
        <v>86</v>
      </c>
      <c r="F52" s="5" t="s">
        <v>252</v>
      </c>
    </row>
    <row r="53" spans="1:6" x14ac:dyDescent="0.25">
      <c r="A53" s="5" t="s">
        <v>181</v>
      </c>
      <c r="B53" s="5">
        <v>7</v>
      </c>
      <c r="C53" s="5" t="s">
        <v>254</v>
      </c>
      <c r="D53" s="6">
        <v>46049</v>
      </c>
      <c r="E53" s="5">
        <v>75</v>
      </c>
      <c r="F53" s="5" t="s">
        <v>252</v>
      </c>
    </row>
    <row r="54" spans="1:6" x14ac:dyDescent="0.25">
      <c r="A54" s="5" t="s">
        <v>182</v>
      </c>
      <c r="B54" s="5">
        <v>8</v>
      </c>
      <c r="C54" s="5" t="s">
        <v>251</v>
      </c>
      <c r="D54" s="6">
        <v>46123</v>
      </c>
      <c r="E54" s="5">
        <v>85</v>
      </c>
      <c r="F54" s="5" t="s">
        <v>252</v>
      </c>
    </row>
    <row r="55" spans="1:6" x14ac:dyDescent="0.25">
      <c r="A55" s="5" t="s">
        <v>183</v>
      </c>
      <c r="B55" s="5">
        <v>6</v>
      </c>
      <c r="C55" s="5" t="s">
        <v>251</v>
      </c>
      <c r="D55" s="6">
        <v>46087</v>
      </c>
      <c r="E55" s="5">
        <v>94</v>
      </c>
      <c r="F55" s="5" t="s">
        <v>252</v>
      </c>
    </row>
    <row r="56" spans="1:6" x14ac:dyDescent="0.25">
      <c r="A56" s="5" t="s">
        <v>184</v>
      </c>
      <c r="B56" s="5">
        <v>5</v>
      </c>
      <c r="C56" s="5" t="s">
        <v>254</v>
      </c>
      <c r="D56" s="6">
        <v>46092</v>
      </c>
      <c r="E56" s="5">
        <v>74</v>
      </c>
      <c r="F56" s="5" t="s">
        <v>252</v>
      </c>
    </row>
    <row r="57" spans="1:6" x14ac:dyDescent="0.25">
      <c r="A57" s="5" t="s">
        <v>185</v>
      </c>
      <c r="B57" s="5">
        <v>7</v>
      </c>
      <c r="C57" s="5" t="s">
        <v>251</v>
      </c>
      <c r="D57" s="6">
        <v>46119</v>
      </c>
      <c r="E57" s="5">
        <v>83</v>
      </c>
      <c r="F57" s="5" t="s">
        <v>252</v>
      </c>
    </row>
    <row r="58" spans="1:6" x14ac:dyDescent="0.25">
      <c r="A58" s="5" t="s">
        <v>186</v>
      </c>
      <c r="B58" s="5">
        <v>5</v>
      </c>
      <c r="C58" s="5" t="s">
        <v>254</v>
      </c>
      <c r="D58" s="6">
        <v>46098</v>
      </c>
      <c r="E58" s="5">
        <v>55</v>
      </c>
      <c r="F58" s="5" t="s">
        <v>255</v>
      </c>
    </row>
    <row r="59" spans="1:6" x14ac:dyDescent="0.25">
      <c r="A59" s="5" t="s">
        <v>187</v>
      </c>
      <c r="B59" s="5">
        <v>5</v>
      </c>
      <c r="C59" s="5" t="s">
        <v>254</v>
      </c>
      <c r="D59" s="6">
        <v>46068</v>
      </c>
      <c r="E59" s="5">
        <v>75</v>
      </c>
      <c r="F59" s="5" t="s">
        <v>252</v>
      </c>
    </row>
    <row r="60" spans="1:6" x14ac:dyDescent="0.25">
      <c r="A60" s="5" t="s">
        <v>188</v>
      </c>
      <c r="B60" s="5">
        <v>6</v>
      </c>
      <c r="C60" s="5" t="s">
        <v>254</v>
      </c>
      <c r="D60" s="6">
        <v>46066</v>
      </c>
      <c r="E60" s="5">
        <v>61</v>
      </c>
      <c r="F60" s="5" t="s">
        <v>255</v>
      </c>
    </row>
    <row r="61" spans="1:6" x14ac:dyDescent="0.25">
      <c r="A61" s="5" t="s">
        <v>189</v>
      </c>
      <c r="B61" s="5">
        <v>8</v>
      </c>
      <c r="C61" s="5" t="s">
        <v>251</v>
      </c>
      <c r="D61" s="6">
        <v>46065</v>
      </c>
      <c r="E61" s="5">
        <v>78</v>
      </c>
      <c r="F61" s="5" t="s">
        <v>252</v>
      </c>
    </row>
    <row r="62" spans="1:6" x14ac:dyDescent="0.25">
      <c r="A62" s="5" t="s">
        <v>190</v>
      </c>
      <c r="B62" s="5">
        <v>6</v>
      </c>
      <c r="C62" s="5" t="s">
        <v>254</v>
      </c>
      <c r="D62" s="6">
        <v>46085</v>
      </c>
      <c r="E62" s="5">
        <v>79</v>
      </c>
      <c r="F62" s="5" t="s">
        <v>252</v>
      </c>
    </row>
    <row r="63" spans="1:6" x14ac:dyDescent="0.25">
      <c r="A63" s="5" t="s">
        <v>191</v>
      </c>
      <c r="B63" s="5">
        <v>6</v>
      </c>
      <c r="C63" s="5" t="s">
        <v>253</v>
      </c>
      <c r="D63" s="6">
        <v>46081</v>
      </c>
      <c r="E63" s="5">
        <v>79</v>
      </c>
      <c r="F63" s="5" t="s">
        <v>252</v>
      </c>
    </row>
    <row r="64" spans="1:6" x14ac:dyDescent="0.25">
      <c r="A64" s="5" t="s">
        <v>192</v>
      </c>
      <c r="B64" s="5">
        <v>6</v>
      </c>
      <c r="C64" s="5" t="s">
        <v>251</v>
      </c>
      <c r="D64" s="6">
        <v>46066</v>
      </c>
      <c r="E64" s="5">
        <v>70</v>
      </c>
      <c r="F64" s="5" t="s">
        <v>252</v>
      </c>
    </row>
    <row r="65" spans="1:6" x14ac:dyDescent="0.25">
      <c r="A65" s="5" t="s">
        <v>193</v>
      </c>
      <c r="B65" s="5">
        <v>6</v>
      </c>
      <c r="C65" s="5" t="s">
        <v>251</v>
      </c>
      <c r="D65" s="6">
        <v>46052</v>
      </c>
      <c r="E65" s="5">
        <v>100</v>
      </c>
      <c r="F65" s="5" t="s">
        <v>252</v>
      </c>
    </row>
    <row r="66" spans="1:6" x14ac:dyDescent="0.25">
      <c r="A66" s="5" t="s">
        <v>194</v>
      </c>
      <c r="B66" s="5">
        <v>7</v>
      </c>
      <c r="C66" s="5" t="s">
        <v>251</v>
      </c>
      <c r="D66" s="6">
        <v>46076</v>
      </c>
      <c r="E66" s="5">
        <v>61</v>
      </c>
      <c r="F66" s="5" t="s">
        <v>255</v>
      </c>
    </row>
    <row r="67" spans="1:6" x14ac:dyDescent="0.25">
      <c r="A67" s="5" t="s">
        <v>195</v>
      </c>
      <c r="B67" s="5">
        <v>8</v>
      </c>
      <c r="C67" s="5" t="s">
        <v>251</v>
      </c>
      <c r="D67" s="6">
        <v>46055</v>
      </c>
      <c r="E67" s="5">
        <v>60</v>
      </c>
      <c r="F67" s="5" t="s">
        <v>255</v>
      </c>
    </row>
    <row r="68" spans="1:6" x14ac:dyDescent="0.25">
      <c r="A68" s="5" t="s">
        <v>196</v>
      </c>
      <c r="B68" s="5">
        <v>5</v>
      </c>
      <c r="C68" s="5" t="s">
        <v>253</v>
      </c>
      <c r="D68" s="6">
        <v>46054</v>
      </c>
      <c r="E68" s="5">
        <v>96</v>
      </c>
      <c r="F68" s="5" t="s">
        <v>252</v>
      </c>
    </row>
    <row r="69" spans="1:6" x14ac:dyDescent="0.25">
      <c r="A69" s="5" t="s">
        <v>198</v>
      </c>
      <c r="B69" s="5">
        <v>5</v>
      </c>
      <c r="C69" s="5" t="s">
        <v>251</v>
      </c>
      <c r="D69" s="6">
        <v>46037</v>
      </c>
      <c r="E69" s="5">
        <v>68</v>
      </c>
      <c r="F69" s="5" t="s">
        <v>255</v>
      </c>
    </row>
    <row r="70" spans="1:6" x14ac:dyDescent="0.25">
      <c r="A70" s="5" t="s">
        <v>199</v>
      </c>
      <c r="B70" s="5">
        <v>8</v>
      </c>
      <c r="C70" s="5" t="s">
        <v>251</v>
      </c>
      <c r="D70" s="6">
        <v>46114</v>
      </c>
      <c r="E70" s="5">
        <v>65</v>
      </c>
      <c r="F70" s="5" t="s">
        <v>255</v>
      </c>
    </row>
    <row r="71" spans="1:6" x14ac:dyDescent="0.25">
      <c r="A71" s="5" t="s">
        <v>200</v>
      </c>
      <c r="B71" s="5">
        <v>5</v>
      </c>
      <c r="C71" s="5" t="s">
        <v>254</v>
      </c>
      <c r="D71" s="6">
        <v>46083</v>
      </c>
      <c r="E71" s="5">
        <v>100</v>
      </c>
      <c r="F71" s="5" t="s">
        <v>252</v>
      </c>
    </row>
    <row r="72" spans="1:6" x14ac:dyDescent="0.25">
      <c r="A72" s="5" t="s">
        <v>201</v>
      </c>
      <c r="B72" s="5">
        <v>8</v>
      </c>
      <c r="C72" s="5" t="s">
        <v>251</v>
      </c>
      <c r="D72" s="6">
        <v>46102</v>
      </c>
      <c r="E72" s="5">
        <v>88</v>
      </c>
      <c r="F72" s="5" t="s">
        <v>252</v>
      </c>
    </row>
    <row r="73" spans="1:6" x14ac:dyDescent="0.25">
      <c r="A73" s="5" t="s">
        <v>202</v>
      </c>
      <c r="B73" s="5">
        <v>5</v>
      </c>
      <c r="C73" s="5" t="s">
        <v>253</v>
      </c>
      <c r="D73" s="6">
        <v>46074</v>
      </c>
      <c r="E73" s="5">
        <v>69</v>
      </c>
      <c r="F73" s="5" t="s">
        <v>255</v>
      </c>
    </row>
    <row r="74" spans="1:6" x14ac:dyDescent="0.25">
      <c r="A74" s="5" t="s">
        <v>203</v>
      </c>
      <c r="B74" s="5">
        <v>6</v>
      </c>
      <c r="C74" s="5" t="s">
        <v>253</v>
      </c>
      <c r="D74" s="6">
        <v>46087</v>
      </c>
      <c r="E74" s="5">
        <v>79</v>
      </c>
      <c r="F74" s="5" t="s">
        <v>252</v>
      </c>
    </row>
    <row r="75" spans="1:6" x14ac:dyDescent="0.25">
      <c r="A75" s="5" t="s">
        <v>204</v>
      </c>
      <c r="B75" s="5">
        <v>5</v>
      </c>
      <c r="C75" s="5" t="s">
        <v>253</v>
      </c>
      <c r="D75" s="6">
        <v>46099</v>
      </c>
      <c r="E75" s="5">
        <v>99</v>
      </c>
      <c r="F75" s="5" t="s">
        <v>252</v>
      </c>
    </row>
    <row r="76" spans="1:6" x14ac:dyDescent="0.25">
      <c r="A76" s="5" t="s">
        <v>205</v>
      </c>
      <c r="B76" s="5">
        <v>8</v>
      </c>
      <c r="C76" s="5" t="s">
        <v>253</v>
      </c>
      <c r="D76" s="6">
        <v>46040</v>
      </c>
      <c r="E76" s="5">
        <v>84</v>
      </c>
      <c r="F76" s="5" t="s">
        <v>252</v>
      </c>
    </row>
    <row r="77" spans="1:6" x14ac:dyDescent="0.25">
      <c r="A77" s="5" t="s">
        <v>206</v>
      </c>
      <c r="B77" s="5">
        <v>8</v>
      </c>
      <c r="C77" s="5" t="s">
        <v>251</v>
      </c>
      <c r="D77" s="6">
        <v>46037</v>
      </c>
      <c r="E77" s="5">
        <v>91</v>
      </c>
      <c r="F77" s="5" t="s">
        <v>252</v>
      </c>
    </row>
    <row r="78" spans="1:6" x14ac:dyDescent="0.25">
      <c r="A78" s="5" t="s">
        <v>207</v>
      </c>
      <c r="B78" s="5">
        <v>8</v>
      </c>
      <c r="C78" s="5" t="s">
        <v>251</v>
      </c>
      <c r="D78" s="6">
        <v>46044</v>
      </c>
      <c r="E78" s="5">
        <v>86</v>
      </c>
      <c r="F78" s="5" t="s">
        <v>252</v>
      </c>
    </row>
    <row r="79" spans="1:6" x14ac:dyDescent="0.25">
      <c r="A79" s="5" t="s">
        <v>208</v>
      </c>
      <c r="B79" s="5">
        <v>8</v>
      </c>
      <c r="C79" s="5" t="s">
        <v>253</v>
      </c>
      <c r="D79" s="6">
        <v>46065</v>
      </c>
      <c r="E79" s="5">
        <v>87</v>
      </c>
      <c r="F79" s="5" t="s">
        <v>252</v>
      </c>
    </row>
    <row r="80" spans="1:6" x14ac:dyDescent="0.25">
      <c r="A80" s="5" t="s">
        <v>209</v>
      </c>
      <c r="B80" s="5">
        <v>8</v>
      </c>
      <c r="C80" s="5" t="s">
        <v>253</v>
      </c>
      <c r="D80" s="6">
        <v>46091</v>
      </c>
      <c r="E80" s="5">
        <v>76</v>
      </c>
      <c r="F80" s="5" t="s">
        <v>252</v>
      </c>
    </row>
    <row r="81" spans="1:6" x14ac:dyDescent="0.25">
      <c r="A81" s="5" t="s">
        <v>210</v>
      </c>
      <c r="B81" s="5">
        <v>7</v>
      </c>
      <c r="C81" s="5" t="s">
        <v>251</v>
      </c>
      <c r="D81" s="6">
        <v>46039</v>
      </c>
      <c r="E81" s="5">
        <v>76</v>
      </c>
      <c r="F81" s="5" t="s">
        <v>252</v>
      </c>
    </row>
    <row r="82" spans="1:6" x14ac:dyDescent="0.25">
      <c r="A82" s="5" t="s">
        <v>211</v>
      </c>
      <c r="B82" s="5">
        <v>7</v>
      </c>
      <c r="C82" s="5" t="s">
        <v>253</v>
      </c>
      <c r="D82" s="6">
        <v>46068</v>
      </c>
      <c r="E82" s="5">
        <v>79</v>
      </c>
      <c r="F82" s="5" t="s">
        <v>252</v>
      </c>
    </row>
    <row r="83" spans="1:6" x14ac:dyDescent="0.25">
      <c r="A83" s="5" t="s">
        <v>212</v>
      </c>
      <c r="B83" s="5">
        <v>5</v>
      </c>
      <c r="C83" s="5" t="s">
        <v>254</v>
      </c>
      <c r="D83" s="6">
        <v>46046</v>
      </c>
      <c r="E83" s="5">
        <v>85</v>
      </c>
      <c r="F83" s="5" t="s">
        <v>252</v>
      </c>
    </row>
    <row r="84" spans="1:6" x14ac:dyDescent="0.25">
      <c r="A84" s="5" t="s">
        <v>213</v>
      </c>
      <c r="B84" s="5">
        <v>8</v>
      </c>
      <c r="C84" s="5" t="s">
        <v>253</v>
      </c>
      <c r="D84" s="6">
        <v>46110</v>
      </c>
      <c r="E84" s="5">
        <v>73</v>
      </c>
      <c r="F84" s="5" t="s">
        <v>252</v>
      </c>
    </row>
    <row r="85" spans="1:6" x14ac:dyDescent="0.25">
      <c r="A85" s="5" t="s">
        <v>214</v>
      </c>
      <c r="B85" s="5">
        <v>5</v>
      </c>
      <c r="C85" s="5" t="s">
        <v>253</v>
      </c>
      <c r="D85" s="6">
        <v>46119</v>
      </c>
      <c r="E85" s="5">
        <v>77</v>
      </c>
      <c r="F85" s="5" t="s">
        <v>252</v>
      </c>
    </row>
    <row r="86" spans="1:6" x14ac:dyDescent="0.25">
      <c r="A86" s="5" t="s">
        <v>215</v>
      </c>
      <c r="B86" s="5">
        <v>8</v>
      </c>
      <c r="C86" s="5" t="s">
        <v>254</v>
      </c>
      <c r="D86" s="6">
        <v>46070</v>
      </c>
      <c r="E86" s="5">
        <v>72</v>
      </c>
      <c r="F86" s="5" t="s">
        <v>252</v>
      </c>
    </row>
    <row r="87" spans="1:6" x14ac:dyDescent="0.25">
      <c r="A87" s="5" t="s">
        <v>216</v>
      </c>
      <c r="B87" s="5">
        <v>8</v>
      </c>
      <c r="C87" s="5" t="s">
        <v>254</v>
      </c>
      <c r="D87" s="6">
        <v>46123</v>
      </c>
      <c r="E87" s="5">
        <v>77</v>
      </c>
      <c r="F87" s="5" t="s">
        <v>252</v>
      </c>
    </row>
    <row r="88" spans="1:6" x14ac:dyDescent="0.25">
      <c r="A88" s="5" t="s">
        <v>217</v>
      </c>
      <c r="B88" s="5">
        <v>7</v>
      </c>
      <c r="C88" s="5" t="s">
        <v>251</v>
      </c>
      <c r="D88" s="6">
        <v>46091</v>
      </c>
      <c r="E88" s="5">
        <v>61</v>
      </c>
      <c r="F88" s="5" t="s">
        <v>255</v>
      </c>
    </row>
    <row r="89" spans="1:6" x14ac:dyDescent="0.25">
      <c r="A89" s="5" t="s">
        <v>218</v>
      </c>
      <c r="B89" s="5">
        <v>7</v>
      </c>
      <c r="C89" s="5" t="s">
        <v>251</v>
      </c>
      <c r="D89" s="6">
        <v>46068</v>
      </c>
      <c r="E89" s="5">
        <v>100</v>
      </c>
      <c r="F89" s="5" t="s">
        <v>252</v>
      </c>
    </row>
    <row r="90" spans="1:6" x14ac:dyDescent="0.25">
      <c r="A90" s="5" t="s">
        <v>219</v>
      </c>
      <c r="B90" s="5">
        <v>6</v>
      </c>
      <c r="C90" s="5" t="s">
        <v>254</v>
      </c>
      <c r="D90" s="6">
        <v>46086</v>
      </c>
      <c r="E90" s="5">
        <v>67</v>
      </c>
      <c r="F90" s="5" t="s">
        <v>255</v>
      </c>
    </row>
    <row r="91" spans="1:6" x14ac:dyDescent="0.25">
      <c r="A91" s="5" t="s">
        <v>220</v>
      </c>
      <c r="B91" s="5">
        <v>7</v>
      </c>
      <c r="C91" s="5" t="s">
        <v>254</v>
      </c>
      <c r="D91" s="6">
        <v>46043</v>
      </c>
      <c r="E91" s="5">
        <v>72</v>
      </c>
      <c r="F91" s="5" t="s">
        <v>252</v>
      </c>
    </row>
    <row r="92" spans="1:6" x14ac:dyDescent="0.25">
      <c r="A92" s="5" t="s">
        <v>221</v>
      </c>
      <c r="B92" s="5">
        <v>6</v>
      </c>
      <c r="C92" s="5" t="s">
        <v>251</v>
      </c>
      <c r="D92" s="6">
        <v>46044</v>
      </c>
      <c r="E92" s="5">
        <v>66</v>
      </c>
      <c r="F92" s="5" t="s">
        <v>255</v>
      </c>
    </row>
    <row r="93" spans="1:6" x14ac:dyDescent="0.25">
      <c r="A93" s="5" t="s">
        <v>222</v>
      </c>
      <c r="B93" s="5">
        <v>6</v>
      </c>
      <c r="C93" s="5" t="s">
        <v>253</v>
      </c>
      <c r="D93" s="6">
        <v>46101</v>
      </c>
      <c r="E93" s="5">
        <v>83</v>
      </c>
      <c r="F93" s="5" t="s">
        <v>252</v>
      </c>
    </row>
    <row r="94" spans="1:6" x14ac:dyDescent="0.25">
      <c r="A94" s="5" t="s">
        <v>223</v>
      </c>
      <c r="B94" s="5">
        <v>6</v>
      </c>
      <c r="C94" s="5" t="s">
        <v>254</v>
      </c>
      <c r="D94" s="6">
        <v>46093</v>
      </c>
      <c r="E94" s="5">
        <v>74</v>
      </c>
      <c r="F94" s="5" t="s">
        <v>252</v>
      </c>
    </row>
    <row r="95" spans="1:6" x14ac:dyDescent="0.25">
      <c r="A95" s="5" t="s">
        <v>224</v>
      </c>
      <c r="B95" s="5">
        <v>6</v>
      </c>
      <c r="C95" s="5" t="s">
        <v>251</v>
      </c>
      <c r="D95" s="6">
        <v>46103</v>
      </c>
      <c r="E95" s="5">
        <v>64</v>
      </c>
      <c r="F95" s="5" t="s">
        <v>255</v>
      </c>
    </row>
    <row r="96" spans="1:6" x14ac:dyDescent="0.25">
      <c r="A96" s="5" t="s">
        <v>225</v>
      </c>
      <c r="B96" s="5">
        <v>6</v>
      </c>
      <c r="C96" s="5" t="s">
        <v>253</v>
      </c>
      <c r="D96" s="6">
        <v>46124</v>
      </c>
      <c r="E96" s="5">
        <v>84</v>
      </c>
      <c r="F96" s="5" t="s">
        <v>252</v>
      </c>
    </row>
    <row r="97" spans="1:6" x14ac:dyDescent="0.25">
      <c r="A97" s="5" t="s">
        <v>226</v>
      </c>
      <c r="B97" s="5">
        <v>5</v>
      </c>
      <c r="C97" s="5" t="s">
        <v>254</v>
      </c>
      <c r="D97" s="6">
        <v>46123</v>
      </c>
      <c r="E97" s="5">
        <v>85</v>
      </c>
      <c r="F97" s="5" t="s">
        <v>252</v>
      </c>
    </row>
    <row r="98" spans="1:6" x14ac:dyDescent="0.25">
      <c r="A98" s="5" t="s">
        <v>227</v>
      </c>
      <c r="B98" s="5">
        <v>7</v>
      </c>
      <c r="C98" s="5" t="s">
        <v>253</v>
      </c>
      <c r="D98" s="6">
        <v>46095</v>
      </c>
      <c r="E98" s="5">
        <v>75</v>
      </c>
      <c r="F98" s="5" t="s">
        <v>252</v>
      </c>
    </row>
    <row r="99" spans="1:6" x14ac:dyDescent="0.25">
      <c r="A99" s="5" t="s">
        <v>228</v>
      </c>
      <c r="B99" s="5">
        <v>6</v>
      </c>
      <c r="C99" s="5" t="s">
        <v>251</v>
      </c>
      <c r="D99" s="6">
        <v>46108</v>
      </c>
      <c r="E99" s="5">
        <v>68</v>
      </c>
      <c r="F99" s="5" t="s">
        <v>255</v>
      </c>
    </row>
    <row r="100" spans="1:6" x14ac:dyDescent="0.25">
      <c r="A100" s="5" t="s">
        <v>229</v>
      </c>
      <c r="B100" s="5">
        <v>8</v>
      </c>
      <c r="C100" s="5" t="s">
        <v>254</v>
      </c>
      <c r="D100" s="6">
        <v>46090</v>
      </c>
      <c r="E100" s="5">
        <v>100</v>
      </c>
      <c r="F100" s="5" t="s">
        <v>252</v>
      </c>
    </row>
    <row r="101" spans="1:6" x14ac:dyDescent="0.25">
      <c r="A101" s="5" t="s">
        <v>230</v>
      </c>
      <c r="B101" s="5">
        <v>7</v>
      </c>
      <c r="C101" s="5" t="s">
        <v>253</v>
      </c>
      <c r="D101" s="6">
        <v>46103</v>
      </c>
      <c r="E101" s="5">
        <v>80</v>
      </c>
      <c r="F101" s="5" t="s">
        <v>252</v>
      </c>
    </row>
    <row r="102" spans="1:6" x14ac:dyDescent="0.25">
      <c r="A102" s="5" t="s">
        <v>231</v>
      </c>
      <c r="B102" s="5">
        <v>7</v>
      </c>
      <c r="C102" s="5" t="s">
        <v>254</v>
      </c>
      <c r="D102" s="6">
        <v>46087</v>
      </c>
      <c r="E102" s="5">
        <v>61</v>
      </c>
      <c r="F102" s="5" t="s">
        <v>255</v>
      </c>
    </row>
    <row r="103" spans="1:6" x14ac:dyDescent="0.25">
      <c r="A103" s="5" t="s">
        <v>232</v>
      </c>
      <c r="B103" s="5">
        <v>6</v>
      </c>
      <c r="C103" s="5" t="s">
        <v>253</v>
      </c>
      <c r="D103" s="6">
        <v>46044</v>
      </c>
      <c r="E103" s="5">
        <v>93</v>
      </c>
      <c r="F103" s="5" t="s">
        <v>252</v>
      </c>
    </row>
    <row r="104" spans="1:6" x14ac:dyDescent="0.25">
      <c r="A104" s="5" t="s">
        <v>233</v>
      </c>
      <c r="B104" s="5">
        <v>5</v>
      </c>
      <c r="C104" s="5" t="s">
        <v>251</v>
      </c>
      <c r="D104" s="6">
        <v>46070</v>
      </c>
      <c r="E104" s="5">
        <v>66</v>
      </c>
      <c r="F104" s="5" t="s">
        <v>255</v>
      </c>
    </row>
    <row r="105" spans="1:6" x14ac:dyDescent="0.25">
      <c r="A105" s="5" t="s">
        <v>234</v>
      </c>
      <c r="B105" s="5">
        <v>6</v>
      </c>
      <c r="C105" s="5" t="s">
        <v>251</v>
      </c>
      <c r="D105" s="6">
        <v>46071</v>
      </c>
      <c r="E105" s="5">
        <v>100</v>
      </c>
      <c r="F105" s="5" t="s">
        <v>252</v>
      </c>
    </row>
    <row r="106" spans="1:6" x14ac:dyDescent="0.25">
      <c r="A106" s="5" t="s">
        <v>235</v>
      </c>
      <c r="B106" s="5">
        <v>5</v>
      </c>
      <c r="C106" s="5" t="s">
        <v>254</v>
      </c>
      <c r="D106" s="6">
        <v>46124</v>
      </c>
      <c r="E106" s="5">
        <v>77</v>
      </c>
      <c r="F106" s="5" t="s">
        <v>252</v>
      </c>
    </row>
    <row r="107" spans="1:6" x14ac:dyDescent="0.25">
      <c r="A107" s="5" t="s">
        <v>236</v>
      </c>
      <c r="B107" s="5">
        <v>8</v>
      </c>
      <c r="C107" s="5" t="s">
        <v>253</v>
      </c>
      <c r="D107" s="6">
        <v>46114</v>
      </c>
      <c r="E107" s="5">
        <v>88</v>
      </c>
      <c r="F107" s="5" t="s">
        <v>252</v>
      </c>
    </row>
    <row r="108" spans="1:6" x14ac:dyDescent="0.25">
      <c r="A108" s="5" t="s">
        <v>237</v>
      </c>
      <c r="B108" s="5">
        <v>7</v>
      </c>
      <c r="C108" s="5" t="s">
        <v>254</v>
      </c>
      <c r="D108" s="6">
        <v>46068</v>
      </c>
      <c r="E108" s="5">
        <v>51</v>
      </c>
      <c r="F108" s="5" t="s">
        <v>255</v>
      </c>
    </row>
    <row r="109" spans="1:6" x14ac:dyDescent="0.25">
      <c r="A109" s="5" t="s">
        <v>238</v>
      </c>
      <c r="B109" s="5">
        <v>8</v>
      </c>
      <c r="C109" s="5" t="s">
        <v>254</v>
      </c>
      <c r="D109" s="6">
        <v>46082</v>
      </c>
      <c r="E109" s="5">
        <v>61</v>
      </c>
      <c r="F109" s="5" t="s">
        <v>255</v>
      </c>
    </row>
    <row r="110" spans="1:6" x14ac:dyDescent="0.25">
      <c r="A110" s="5" t="s">
        <v>239</v>
      </c>
      <c r="B110" s="5">
        <v>5</v>
      </c>
      <c r="C110" s="5" t="s">
        <v>253</v>
      </c>
      <c r="D110" s="6">
        <v>46052</v>
      </c>
      <c r="E110" s="5">
        <v>92</v>
      </c>
      <c r="F110" s="5" t="s">
        <v>252</v>
      </c>
    </row>
    <row r="111" spans="1:6" x14ac:dyDescent="0.25">
      <c r="A111" s="5" t="s">
        <v>240</v>
      </c>
      <c r="B111" s="5">
        <v>5</v>
      </c>
      <c r="C111" s="5" t="s">
        <v>253</v>
      </c>
      <c r="D111" s="6">
        <v>46104</v>
      </c>
      <c r="E111" s="5">
        <v>80</v>
      </c>
      <c r="F111" s="5" t="s">
        <v>252</v>
      </c>
    </row>
    <row r="112" spans="1:6" x14ac:dyDescent="0.25">
      <c r="A112" s="5" t="s">
        <v>241</v>
      </c>
      <c r="B112" s="5">
        <v>8</v>
      </c>
      <c r="C112" s="5" t="s">
        <v>253</v>
      </c>
      <c r="D112" s="6">
        <v>46073</v>
      </c>
      <c r="E112" s="5">
        <v>100</v>
      </c>
      <c r="F112" s="5" t="s">
        <v>252</v>
      </c>
    </row>
    <row r="113" spans="1:6" x14ac:dyDescent="0.25">
      <c r="A113" s="5" t="s">
        <v>242</v>
      </c>
      <c r="B113" s="5">
        <v>5</v>
      </c>
      <c r="C113" s="5" t="s">
        <v>251</v>
      </c>
      <c r="D113" s="6">
        <v>46090</v>
      </c>
      <c r="E113" s="5">
        <v>82</v>
      </c>
      <c r="F113" s="5" t="s">
        <v>252</v>
      </c>
    </row>
    <row r="114" spans="1:6" x14ac:dyDescent="0.25">
      <c r="A114" s="5" t="s">
        <v>243</v>
      </c>
      <c r="B114" s="5">
        <v>8</v>
      </c>
      <c r="C114" s="5" t="s">
        <v>254</v>
      </c>
      <c r="D114" s="6">
        <v>46121</v>
      </c>
      <c r="E114" s="5">
        <v>78</v>
      </c>
      <c r="F114" s="5" t="s">
        <v>252</v>
      </c>
    </row>
    <row r="115" spans="1:6" x14ac:dyDescent="0.25">
      <c r="A115" s="5" t="s">
        <v>244</v>
      </c>
      <c r="B115" s="5">
        <v>7</v>
      </c>
      <c r="C115" s="5" t="s">
        <v>254</v>
      </c>
      <c r="D115" s="6">
        <v>46050</v>
      </c>
      <c r="E115" s="5">
        <v>97</v>
      </c>
      <c r="F115" s="5" t="s">
        <v>252</v>
      </c>
    </row>
    <row r="116" spans="1:6" x14ac:dyDescent="0.25">
      <c r="A116" s="5" t="s">
        <v>245</v>
      </c>
      <c r="B116" s="5">
        <v>8</v>
      </c>
      <c r="C116" s="5" t="s">
        <v>251</v>
      </c>
      <c r="D116" s="6">
        <v>46091</v>
      </c>
      <c r="E116" s="5">
        <v>88</v>
      </c>
      <c r="F116" s="5" t="s">
        <v>252</v>
      </c>
    </row>
    <row r="117" spans="1:6" x14ac:dyDescent="0.25">
      <c r="A117" s="5" t="s">
        <v>246</v>
      </c>
      <c r="B117" s="5">
        <v>7</v>
      </c>
      <c r="C117" s="5" t="s">
        <v>253</v>
      </c>
      <c r="D117" s="6">
        <v>46084</v>
      </c>
      <c r="E117" s="5">
        <v>74</v>
      </c>
      <c r="F117" s="5" t="s">
        <v>252</v>
      </c>
    </row>
    <row r="118" spans="1:6" x14ac:dyDescent="0.25">
      <c r="A118" s="5" t="s">
        <v>247</v>
      </c>
      <c r="B118" s="5">
        <v>8</v>
      </c>
      <c r="C118" s="5" t="s">
        <v>251</v>
      </c>
      <c r="D118" s="6">
        <v>46118</v>
      </c>
      <c r="E118" s="5">
        <v>63</v>
      </c>
      <c r="F118" s="5" t="s">
        <v>255</v>
      </c>
    </row>
    <row r="119" spans="1:6" x14ac:dyDescent="0.25">
      <c r="A119" s="5" t="s">
        <v>248</v>
      </c>
      <c r="B119" s="5">
        <v>5</v>
      </c>
      <c r="C119" s="5" t="s">
        <v>251</v>
      </c>
      <c r="D119" s="6">
        <v>46043</v>
      </c>
      <c r="E119" s="5">
        <v>48</v>
      </c>
      <c r="F119" s="5" t="s">
        <v>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DE29-3296-4A33-8AF7-7C9D200F85B3}">
  <dimension ref="A1:D120"/>
  <sheetViews>
    <sheetView workbookViewId="0">
      <selection activeCell="B20" sqref="B20"/>
    </sheetView>
  </sheetViews>
  <sheetFormatPr defaultRowHeight="15" x14ac:dyDescent="0.25"/>
  <cols>
    <col min="1" max="1" width="11.28515625" customWidth="1"/>
    <col min="2" max="2" width="11.5703125" customWidth="1"/>
    <col min="3" max="3" width="12" customWidth="1"/>
    <col min="4" max="4" width="19" customWidth="1"/>
    <col min="6" max="6" width="16.5703125" customWidth="1"/>
    <col min="7" max="7" width="15" customWidth="1"/>
  </cols>
  <sheetData>
    <row r="1" spans="1:4" x14ac:dyDescent="0.25">
      <c r="A1" s="4" t="s">
        <v>7</v>
      </c>
      <c r="B1" s="4" t="s">
        <v>18</v>
      </c>
      <c r="C1" s="4" t="s">
        <v>74</v>
      </c>
      <c r="D1" s="4" t="s">
        <v>258</v>
      </c>
    </row>
    <row r="2" spans="1:4" x14ac:dyDescent="0.25">
      <c r="A2" s="5" t="s">
        <v>90</v>
      </c>
      <c r="B2" s="5">
        <v>8</v>
      </c>
      <c r="C2" s="5">
        <v>1</v>
      </c>
      <c r="D2" s="5">
        <v>0</v>
      </c>
    </row>
    <row r="3" spans="1:4" x14ac:dyDescent="0.25">
      <c r="A3" s="5" t="s">
        <v>95</v>
      </c>
      <c r="B3" s="5">
        <v>5</v>
      </c>
      <c r="C3" s="5">
        <v>0</v>
      </c>
      <c r="D3" s="5">
        <v>0</v>
      </c>
    </row>
    <row r="4" spans="1:4" x14ac:dyDescent="0.25">
      <c r="A4" s="5" t="s">
        <v>100</v>
      </c>
      <c r="B4" s="5">
        <v>7</v>
      </c>
      <c r="C4" s="5">
        <v>2</v>
      </c>
      <c r="D4" s="5">
        <v>0</v>
      </c>
    </row>
    <row r="5" spans="1:4" x14ac:dyDescent="0.25">
      <c r="A5" s="5" t="s">
        <v>103</v>
      </c>
      <c r="B5" s="5">
        <v>8</v>
      </c>
      <c r="C5" s="5">
        <v>0</v>
      </c>
      <c r="D5" s="5">
        <v>0</v>
      </c>
    </row>
    <row r="6" spans="1:4" x14ac:dyDescent="0.25">
      <c r="A6" s="5" t="s">
        <v>106</v>
      </c>
      <c r="B6" s="5">
        <v>5</v>
      </c>
      <c r="C6" s="5">
        <v>0</v>
      </c>
      <c r="D6" s="5">
        <v>0</v>
      </c>
    </row>
    <row r="7" spans="1:4" x14ac:dyDescent="0.25">
      <c r="A7" s="5" t="s">
        <v>249</v>
      </c>
      <c r="B7" s="5">
        <v>5</v>
      </c>
      <c r="C7" s="5">
        <v>0</v>
      </c>
      <c r="D7" s="5">
        <v>0</v>
      </c>
    </row>
    <row r="8" spans="1:4" x14ac:dyDescent="0.25">
      <c r="A8" s="5" t="s">
        <v>109</v>
      </c>
      <c r="B8" s="5">
        <v>6</v>
      </c>
      <c r="C8" s="5">
        <v>0</v>
      </c>
      <c r="D8" s="5">
        <v>0</v>
      </c>
    </row>
    <row r="9" spans="1:4" x14ac:dyDescent="0.25">
      <c r="A9" s="5" t="s">
        <v>111</v>
      </c>
      <c r="B9" s="5">
        <v>7</v>
      </c>
      <c r="C9" s="5">
        <v>1</v>
      </c>
      <c r="D9" s="5">
        <v>0</v>
      </c>
    </row>
    <row r="10" spans="1:4" x14ac:dyDescent="0.25">
      <c r="A10" s="5" t="s">
        <v>113</v>
      </c>
      <c r="B10" s="5">
        <v>7</v>
      </c>
      <c r="C10" s="5">
        <v>0</v>
      </c>
      <c r="D10" s="5">
        <v>0</v>
      </c>
    </row>
    <row r="11" spans="1:4" x14ac:dyDescent="0.25">
      <c r="A11" s="5" t="s">
        <v>114</v>
      </c>
      <c r="B11" s="5">
        <v>6</v>
      </c>
      <c r="C11" s="5">
        <v>1</v>
      </c>
      <c r="D11" s="5">
        <v>0</v>
      </c>
    </row>
    <row r="12" spans="1:4" x14ac:dyDescent="0.25">
      <c r="A12" s="5" t="s">
        <v>116</v>
      </c>
      <c r="B12" s="5">
        <v>6</v>
      </c>
      <c r="C12" s="5">
        <v>1</v>
      </c>
      <c r="D12" s="5">
        <v>0</v>
      </c>
    </row>
    <row r="13" spans="1:4" x14ac:dyDescent="0.25">
      <c r="A13" s="5" t="s">
        <v>117</v>
      </c>
      <c r="B13" s="5">
        <v>7</v>
      </c>
      <c r="C13" s="5">
        <v>1</v>
      </c>
      <c r="D13" s="5">
        <v>0</v>
      </c>
    </row>
    <row r="14" spans="1:4" x14ac:dyDescent="0.25">
      <c r="A14" s="5" t="s">
        <v>124</v>
      </c>
      <c r="B14" s="5">
        <v>8</v>
      </c>
      <c r="C14" s="5">
        <v>3</v>
      </c>
      <c r="D14" s="5">
        <v>1</v>
      </c>
    </row>
    <row r="15" spans="1:4" x14ac:dyDescent="0.25">
      <c r="A15" s="5" t="s">
        <v>127</v>
      </c>
      <c r="B15" s="5">
        <v>8</v>
      </c>
      <c r="C15" s="5">
        <v>1</v>
      </c>
      <c r="D15" s="5">
        <v>0</v>
      </c>
    </row>
    <row r="16" spans="1:4" x14ac:dyDescent="0.25">
      <c r="A16" s="5" t="s">
        <v>130</v>
      </c>
      <c r="B16" s="5">
        <v>6</v>
      </c>
      <c r="C16" s="5">
        <v>0</v>
      </c>
      <c r="D16" s="5">
        <v>0</v>
      </c>
    </row>
    <row r="17" spans="1:4" x14ac:dyDescent="0.25">
      <c r="A17" s="5" t="s">
        <v>132</v>
      </c>
      <c r="B17" s="5">
        <v>8</v>
      </c>
      <c r="C17" s="5">
        <v>1</v>
      </c>
      <c r="D17" s="5">
        <v>0</v>
      </c>
    </row>
    <row r="18" spans="1:4" x14ac:dyDescent="0.25">
      <c r="A18" s="5" t="s">
        <v>135</v>
      </c>
      <c r="B18" s="5">
        <v>5</v>
      </c>
      <c r="C18" s="5">
        <v>2</v>
      </c>
      <c r="D18" s="5">
        <v>0</v>
      </c>
    </row>
    <row r="19" spans="1:4" x14ac:dyDescent="0.25">
      <c r="A19" s="5" t="s">
        <v>136</v>
      </c>
      <c r="B19" s="5">
        <v>8</v>
      </c>
      <c r="C19" s="5">
        <v>4</v>
      </c>
      <c r="D19" s="5">
        <v>1</v>
      </c>
    </row>
    <row r="20" spans="1:4" x14ac:dyDescent="0.25">
      <c r="A20" s="5" t="s">
        <v>137</v>
      </c>
      <c r="B20" s="5">
        <v>8</v>
      </c>
      <c r="C20" s="5">
        <v>2</v>
      </c>
      <c r="D20" s="5">
        <v>0</v>
      </c>
    </row>
    <row r="21" spans="1:4" x14ac:dyDescent="0.25">
      <c r="A21" s="5" t="s">
        <v>139</v>
      </c>
      <c r="B21" s="5">
        <v>5</v>
      </c>
      <c r="C21" s="5">
        <v>2</v>
      </c>
      <c r="D21" s="5">
        <v>1</v>
      </c>
    </row>
    <row r="22" spans="1:4" x14ac:dyDescent="0.25">
      <c r="A22" s="5" t="s">
        <v>141</v>
      </c>
      <c r="B22" s="5">
        <v>6</v>
      </c>
      <c r="C22" s="5">
        <v>1</v>
      </c>
      <c r="D22" s="5">
        <v>0</v>
      </c>
    </row>
    <row r="23" spans="1:4" x14ac:dyDescent="0.25">
      <c r="A23" s="5" t="s">
        <v>143</v>
      </c>
      <c r="B23" s="5">
        <v>5</v>
      </c>
      <c r="C23" s="5">
        <v>0</v>
      </c>
      <c r="D23" s="5">
        <v>0</v>
      </c>
    </row>
    <row r="24" spans="1:4" x14ac:dyDescent="0.25">
      <c r="A24" s="5" t="s">
        <v>144</v>
      </c>
      <c r="B24" s="5">
        <v>8</v>
      </c>
      <c r="C24" s="5">
        <v>1</v>
      </c>
      <c r="D24" s="5">
        <v>0</v>
      </c>
    </row>
    <row r="25" spans="1:4" x14ac:dyDescent="0.25">
      <c r="A25" s="5" t="s">
        <v>145</v>
      </c>
      <c r="B25" s="5">
        <v>6</v>
      </c>
      <c r="C25" s="5">
        <v>4</v>
      </c>
      <c r="D25" s="5">
        <v>2</v>
      </c>
    </row>
    <row r="26" spans="1:4" x14ac:dyDescent="0.25">
      <c r="A26" s="5" t="s">
        <v>147</v>
      </c>
      <c r="B26" s="5">
        <v>8</v>
      </c>
      <c r="C26" s="5">
        <v>2</v>
      </c>
      <c r="D26" s="5">
        <v>0</v>
      </c>
    </row>
    <row r="27" spans="1:4" x14ac:dyDescent="0.25">
      <c r="A27" s="5" t="s">
        <v>149</v>
      </c>
      <c r="B27" s="5">
        <v>5</v>
      </c>
      <c r="C27" s="5">
        <v>0</v>
      </c>
      <c r="D27" s="5">
        <v>0</v>
      </c>
    </row>
    <row r="28" spans="1:4" x14ac:dyDescent="0.25">
      <c r="A28" s="5" t="s">
        <v>150</v>
      </c>
      <c r="B28" s="5">
        <v>5</v>
      </c>
      <c r="C28" s="5">
        <v>1</v>
      </c>
      <c r="D28" s="5">
        <v>0</v>
      </c>
    </row>
    <row r="29" spans="1:4" x14ac:dyDescent="0.25">
      <c r="A29" s="5" t="s">
        <v>151</v>
      </c>
      <c r="B29" s="5">
        <v>8</v>
      </c>
      <c r="C29" s="5">
        <v>3</v>
      </c>
      <c r="D29" s="5">
        <v>0</v>
      </c>
    </row>
    <row r="30" spans="1:4" x14ac:dyDescent="0.25">
      <c r="A30" s="5" t="s">
        <v>153</v>
      </c>
      <c r="B30" s="5">
        <v>7</v>
      </c>
      <c r="C30" s="5">
        <v>1</v>
      </c>
      <c r="D30" s="5">
        <v>0</v>
      </c>
    </row>
    <row r="31" spans="1:4" x14ac:dyDescent="0.25">
      <c r="A31" s="5" t="s">
        <v>154</v>
      </c>
      <c r="B31" s="5">
        <v>7</v>
      </c>
      <c r="C31" s="5">
        <v>3</v>
      </c>
      <c r="D31" s="5">
        <v>1</v>
      </c>
    </row>
    <row r="32" spans="1:4" x14ac:dyDescent="0.25">
      <c r="A32" s="5" t="s">
        <v>155</v>
      </c>
      <c r="B32" s="5">
        <v>5</v>
      </c>
      <c r="C32" s="5">
        <v>0</v>
      </c>
      <c r="D32" s="5">
        <v>0</v>
      </c>
    </row>
    <row r="33" spans="1:4" x14ac:dyDescent="0.25">
      <c r="A33" s="5" t="s">
        <v>157</v>
      </c>
      <c r="B33" s="5">
        <v>5</v>
      </c>
      <c r="C33" s="5">
        <v>1</v>
      </c>
      <c r="D33" s="5">
        <v>0</v>
      </c>
    </row>
    <row r="34" spans="1:4" x14ac:dyDescent="0.25">
      <c r="A34" s="5" t="s">
        <v>158</v>
      </c>
      <c r="B34" s="5">
        <v>7</v>
      </c>
      <c r="C34" s="5">
        <v>1</v>
      </c>
      <c r="D34" s="5">
        <v>0</v>
      </c>
    </row>
    <row r="35" spans="1:4" x14ac:dyDescent="0.25">
      <c r="A35" s="5" t="s">
        <v>160</v>
      </c>
      <c r="B35" s="5">
        <v>7</v>
      </c>
      <c r="C35" s="5">
        <v>2</v>
      </c>
      <c r="D35" s="5">
        <v>0</v>
      </c>
    </row>
    <row r="36" spans="1:4" x14ac:dyDescent="0.25">
      <c r="A36" s="5" t="s">
        <v>161</v>
      </c>
      <c r="B36" s="5">
        <v>8</v>
      </c>
      <c r="C36" s="5">
        <v>0</v>
      </c>
      <c r="D36" s="5">
        <v>0</v>
      </c>
    </row>
    <row r="37" spans="1:4" x14ac:dyDescent="0.25">
      <c r="A37" s="5" t="s">
        <v>163</v>
      </c>
      <c r="B37" s="5">
        <v>8</v>
      </c>
      <c r="C37" s="5">
        <v>0</v>
      </c>
      <c r="D37" s="5">
        <v>0</v>
      </c>
    </row>
    <row r="38" spans="1:4" x14ac:dyDescent="0.25">
      <c r="A38" s="5" t="s">
        <v>164</v>
      </c>
      <c r="B38" s="5">
        <v>7</v>
      </c>
      <c r="C38" s="5">
        <v>0</v>
      </c>
      <c r="D38" s="5">
        <v>0</v>
      </c>
    </row>
    <row r="39" spans="1:4" x14ac:dyDescent="0.25">
      <c r="A39" s="5" t="s">
        <v>165</v>
      </c>
      <c r="B39" s="5">
        <v>8</v>
      </c>
      <c r="C39" s="5">
        <v>1</v>
      </c>
      <c r="D39" s="5">
        <v>1</v>
      </c>
    </row>
    <row r="40" spans="1:4" x14ac:dyDescent="0.25">
      <c r="A40" s="5" t="s">
        <v>166</v>
      </c>
      <c r="B40" s="5">
        <v>8</v>
      </c>
      <c r="C40" s="5">
        <v>2</v>
      </c>
      <c r="D40" s="5">
        <v>0</v>
      </c>
    </row>
    <row r="41" spans="1:4" x14ac:dyDescent="0.25">
      <c r="A41" s="5" t="s">
        <v>167</v>
      </c>
      <c r="B41" s="5">
        <v>6</v>
      </c>
      <c r="C41" s="5">
        <v>2</v>
      </c>
      <c r="D41" s="5">
        <v>0</v>
      </c>
    </row>
    <row r="42" spans="1:4" x14ac:dyDescent="0.25">
      <c r="A42" s="5" t="s">
        <v>169</v>
      </c>
      <c r="B42" s="5">
        <v>8</v>
      </c>
      <c r="C42" s="5">
        <v>3</v>
      </c>
      <c r="D42" s="5">
        <v>0</v>
      </c>
    </row>
    <row r="43" spans="1:4" x14ac:dyDescent="0.25">
      <c r="A43" s="5" t="s">
        <v>170</v>
      </c>
      <c r="B43" s="5">
        <v>5</v>
      </c>
      <c r="C43" s="5">
        <v>3</v>
      </c>
      <c r="D43" s="5">
        <v>0</v>
      </c>
    </row>
    <row r="44" spans="1:4" x14ac:dyDescent="0.25">
      <c r="A44" s="5" t="s">
        <v>171</v>
      </c>
      <c r="B44" s="5">
        <v>8</v>
      </c>
      <c r="C44" s="5">
        <v>2</v>
      </c>
      <c r="D44" s="5">
        <v>1</v>
      </c>
    </row>
    <row r="45" spans="1:4" x14ac:dyDescent="0.25">
      <c r="A45" s="5" t="s">
        <v>172</v>
      </c>
      <c r="B45" s="5">
        <v>8</v>
      </c>
      <c r="C45" s="5">
        <v>0</v>
      </c>
      <c r="D45" s="5">
        <v>0</v>
      </c>
    </row>
    <row r="46" spans="1:4" x14ac:dyDescent="0.25">
      <c r="A46" s="5" t="s">
        <v>173</v>
      </c>
      <c r="B46" s="5">
        <v>7</v>
      </c>
      <c r="C46" s="5">
        <v>0</v>
      </c>
      <c r="D46" s="5">
        <v>0</v>
      </c>
    </row>
    <row r="47" spans="1:4" x14ac:dyDescent="0.25">
      <c r="A47" s="5" t="s">
        <v>174</v>
      </c>
      <c r="B47" s="5">
        <v>5</v>
      </c>
      <c r="C47" s="5">
        <v>1</v>
      </c>
      <c r="D47" s="5">
        <v>0</v>
      </c>
    </row>
    <row r="48" spans="1:4" x14ac:dyDescent="0.25">
      <c r="A48" s="5" t="s">
        <v>175</v>
      </c>
      <c r="B48" s="5">
        <v>8</v>
      </c>
      <c r="C48" s="5">
        <v>1</v>
      </c>
      <c r="D48" s="5">
        <v>0</v>
      </c>
    </row>
    <row r="49" spans="1:4" x14ac:dyDescent="0.25">
      <c r="A49" s="5" t="s">
        <v>176</v>
      </c>
      <c r="B49" s="5">
        <v>8</v>
      </c>
      <c r="C49" s="5">
        <v>1</v>
      </c>
      <c r="D49" s="5">
        <v>0</v>
      </c>
    </row>
    <row r="50" spans="1:4" x14ac:dyDescent="0.25">
      <c r="A50" s="5" t="s">
        <v>177</v>
      </c>
      <c r="B50" s="5">
        <v>6</v>
      </c>
      <c r="C50" s="5">
        <v>4</v>
      </c>
      <c r="D50" s="5">
        <v>0</v>
      </c>
    </row>
    <row r="51" spans="1:4" x14ac:dyDescent="0.25">
      <c r="A51" s="5" t="s">
        <v>178</v>
      </c>
      <c r="B51" s="5">
        <v>8</v>
      </c>
      <c r="C51" s="5">
        <v>1</v>
      </c>
      <c r="D51" s="5">
        <v>0</v>
      </c>
    </row>
    <row r="52" spans="1:4" x14ac:dyDescent="0.25">
      <c r="A52" s="5" t="s">
        <v>179</v>
      </c>
      <c r="B52" s="5">
        <v>8</v>
      </c>
      <c r="C52" s="5">
        <v>1</v>
      </c>
      <c r="D52" s="5">
        <v>0</v>
      </c>
    </row>
    <row r="53" spans="1:4" x14ac:dyDescent="0.25">
      <c r="A53" s="5" t="s">
        <v>180</v>
      </c>
      <c r="B53" s="5">
        <v>6</v>
      </c>
      <c r="C53" s="5">
        <v>2</v>
      </c>
      <c r="D53" s="5">
        <v>0</v>
      </c>
    </row>
    <row r="54" spans="1:4" x14ac:dyDescent="0.25">
      <c r="A54" s="5" t="s">
        <v>181</v>
      </c>
      <c r="B54" s="5">
        <v>7</v>
      </c>
      <c r="C54" s="5">
        <v>0</v>
      </c>
      <c r="D54" s="5">
        <v>0</v>
      </c>
    </row>
    <row r="55" spans="1:4" x14ac:dyDescent="0.25">
      <c r="A55" s="5" t="s">
        <v>182</v>
      </c>
      <c r="B55" s="5">
        <v>8</v>
      </c>
      <c r="C55" s="5">
        <v>0</v>
      </c>
      <c r="D55" s="5">
        <v>0</v>
      </c>
    </row>
    <row r="56" spans="1:4" x14ac:dyDescent="0.25">
      <c r="A56" s="5" t="s">
        <v>183</v>
      </c>
      <c r="B56" s="5">
        <v>6</v>
      </c>
      <c r="C56" s="5">
        <v>1</v>
      </c>
      <c r="D56" s="5">
        <v>0</v>
      </c>
    </row>
    <row r="57" spans="1:4" x14ac:dyDescent="0.25">
      <c r="A57" s="5" t="s">
        <v>184</v>
      </c>
      <c r="B57" s="5">
        <v>5</v>
      </c>
      <c r="C57" s="5">
        <v>0</v>
      </c>
      <c r="D57" s="5">
        <v>0</v>
      </c>
    </row>
    <row r="58" spans="1:4" x14ac:dyDescent="0.25">
      <c r="A58" s="5" t="s">
        <v>185</v>
      </c>
      <c r="B58" s="5">
        <v>7</v>
      </c>
      <c r="C58" s="5">
        <v>1</v>
      </c>
      <c r="D58" s="5">
        <v>0</v>
      </c>
    </row>
    <row r="59" spans="1:4" x14ac:dyDescent="0.25">
      <c r="A59" s="5" t="s">
        <v>186</v>
      </c>
      <c r="B59" s="5">
        <v>5</v>
      </c>
      <c r="C59" s="5">
        <v>1</v>
      </c>
      <c r="D59" s="5">
        <v>0</v>
      </c>
    </row>
    <row r="60" spans="1:4" x14ac:dyDescent="0.25">
      <c r="A60" s="5" t="s">
        <v>187</v>
      </c>
      <c r="B60" s="5">
        <v>5</v>
      </c>
      <c r="C60" s="5">
        <v>0</v>
      </c>
      <c r="D60" s="5">
        <v>0</v>
      </c>
    </row>
    <row r="61" spans="1:4" x14ac:dyDescent="0.25">
      <c r="A61" s="5" t="s">
        <v>188</v>
      </c>
      <c r="B61" s="5">
        <v>6</v>
      </c>
      <c r="C61" s="5">
        <v>0</v>
      </c>
      <c r="D61" s="5">
        <v>0</v>
      </c>
    </row>
    <row r="62" spans="1:4" x14ac:dyDescent="0.25">
      <c r="A62" s="5" t="s">
        <v>189</v>
      </c>
      <c r="B62" s="5">
        <v>8</v>
      </c>
      <c r="C62" s="5">
        <v>2</v>
      </c>
      <c r="D62" s="5">
        <v>0</v>
      </c>
    </row>
    <row r="63" spans="1:4" x14ac:dyDescent="0.25">
      <c r="A63" s="5" t="s">
        <v>190</v>
      </c>
      <c r="B63" s="5">
        <v>6</v>
      </c>
      <c r="C63" s="5">
        <v>0</v>
      </c>
      <c r="D63" s="5">
        <v>0</v>
      </c>
    </row>
    <row r="64" spans="1:4" x14ac:dyDescent="0.25">
      <c r="A64" s="5" t="s">
        <v>191</v>
      </c>
      <c r="B64" s="5">
        <v>6</v>
      </c>
      <c r="C64" s="5">
        <v>2</v>
      </c>
      <c r="D64" s="5">
        <v>1</v>
      </c>
    </row>
    <row r="65" spans="1:4" x14ac:dyDescent="0.25">
      <c r="A65" s="5" t="s">
        <v>192</v>
      </c>
      <c r="B65" s="5">
        <v>6</v>
      </c>
      <c r="C65" s="5">
        <v>2</v>
      </c>
      <c r="D65" s="5">
        <v>0</v>
      </c>
    </row>
    <row r="66" spans="1:4" x14ac:dyDescent="0.25">
      <c r="A66" s="5" t="s">
        <v>193</v>
      </c>
      <c r="B66" s="5">
        <v>6</v>
      </c>
      <c r="C66" s="5">
        <v>2</v>
      </c>
      <c r="D66" s="5">
        <v>0</v>
      </c>
    </row>
    <row r="67" spans="1:4" x14ac:dyDescent="0.25">
      <c r="A67" s="5" t="s">
        <v>194</v>
      </c>
      <c r="B67" s="5">
        <v>7</v>
      </c>
      <c r="C67" s="5">
        <v>0</v>
      </c>
      <c r="D67" s="5">
        <v>0</v>
      </c>
    </row>
    <row r="68" spans="1:4" x14ac:dyDescent="0.25">
      <c r="A68" s="5" t="s">
        <v>195</v>
      </c>
      <c r="B68" s="5">
        <v>8</v>
      </c>
      <c r="C68" s="5">
        <v>0</v>
      </c>
      <c r="D68" s="5">
        <v>0</v>
      </c>
    </row>
    <row r="69" spans="1:4" x14ac:dyDescent="0.25">
      <c r="A69" s="5" t="s">
        <v>196</v>
      </c>
      <c r="B69" s="5">
        <v>5</v>
      </c>
      <c r="C69" s="5">
        <v>3</v>
      </c>
      <c r="D69" s="5">
        <v>0</v>
      </c>
    </row>
    <row r="70" spans="1:4" x14ac:dyDescent="0.25">
      <c r="A70" s="5" t="s">
        <v>198</v>
      </c>
      <c r="B70" s="5">
        <v>5</v>
      </c>
      <c r="C70" s="5">
        <v>2</v>
      </c>
      <c r="D70" s="5">
        <v>0</v>
      </c>
    </row>
    <row r="71" spans="1:4" x14ac:dyDescent="0.25">
      <c r="A71" s="5" t="s">
        <v>199</v>
      </c>
      <c r="B71" s="5">
        <v>8</v>
      </c>
      <c r="C71" s="5">
        <v>0</v>
      </c>
      <c r="D71" s="5">
        <v>0</v>
      </c>
    </row>
    <row r="72" spans="1:4" x14ac:dyDescent="0.25">
      <c r="A72" s="5" t="s">
        <v>200</v>
      </c>
      <c r="B72" s="5">
        <v>5</v>
      </c>
      <c r="C72" s="5">
        <v>2</v>
      </c>
      <c r="D72" s="5">
        <v>0</v>
      </c>
    </row>
    <row r="73" spans="1:4" x14ac:dyDescent="0.25">
      <c r="A73" s="5" t="s">
        <v>201</v>
      </c>
      <c r="B73" s="5">
        <v>8</v>
      </c>
      <c r="C73" s="5">
        <v>0</v>
      </c>
      <c r="D73" s="5">
        <v>0</v>
      </c>
    </row>
    <row r="74" spans="1:4" x14ac:dyDescent="0.25">
      <c r="A74" s="5" t="s">
        <v>202</v>
      </c>
      <c r="B74" s="5">
        <v>5</v>
      </c>
      <c r="C74" s="5">
        <v>0</v>
      </c>
      <c r="D74" s="5">
        <v>0</v>
      </c>
    </row>
    <row r="75" spans="1:4" x14ac:dyDescent="0.25">
      <c r="A75" s="5" t="s">
        <v>203</v>
      </c>
      <c r="B75" s="5">
        <v>6</v>
      </c>
      <c r="C75" s="5">
        <v>0</v>
      </c>
      <c r="D75" s="5">
        <v>0</v>
      </c>
    </row>
    <row r="76" spans="1:4" x14ac:dyDescent="0.25">
      <c r="A76" s="5" t="s">
        <v>204</v>
      </c>
      <c r="B76" s="5">
        <v>5</v>
      </c>
      <c r="C76" s="5">
        <v>2</v>
      </c>
      <c r="D76" s="5">
        <v>0</v>
      </c>
    </row>
    <row r="77" spans="1:4" x14ac:dyDescent="0.25">
      <c r="A77" s="5" t="s">
        <v>205</v>
      </c>
      <c r="B77" s="5">
        <v>8</v>
      </c>
      <c r="C77" s="5">
        <v>3</v>
      </c>
      <c r="D77" s="5">
        <v>0</v>
      </c>
    </row>
    <row r="78" spans="1:4" x14ac:dyDescent="0.25">
      <c r="A78" s="5" t="s">
        <v>206</v>
      </c>
      <c r="B78" s="5">
        <v>8</v>
      </c>
      <c r="C78" s="5">
        <v>2</v>
      </c>
      <c r="D78" s="5">
        <v>0</v>
      </c>
    </row>
    <row r="79" spans="1:4" x14ac:dyDescent="0.25">
      <c r="A79" s="5" t="s">
        <v>207</v>
      </c>
      <c r="B79" s="5">
        <v>8</v>
      </c>
      <c r="C79" s="5">
        <v>0</v>
      </c>
      <c r="D79" s="5">
        <v>0</v>
      </c>
    </row>
    <row r="80" spans="1:4" x14ac:dyDescent="0.25">
      <c r="A80" s="5" t="s">
        <v>208</v>
      </c>
      <c r="B80" s="5">
        <v>8</v>
      </c>
      <c r="C80" s="5">
        <v>2</v>
      </c>
      <c r="D80" s="5">
        <v>0</v>
      </c>
    </row>
    <row r="81" spans="1:4" x14ac:dyDescent="0.25">
      <c r="A81" s="5" t="s">
        <v>209</v>
      </c>
      <c r="B81" s="5">
        <v>8</v>
      </c>
      <c r="C81" s="5">
        <v>5</v>
      </c>
      <c r="D81" s="5">
        <v>1</v>
      </c>
    </row>
    <row r="82" spans="1:4" x14ac:dyDescent="0.25">
      <c r="A82" s="5" t="s">
        <v>210</v>
      </c>
      <c r="B82" s="5">
        <v>7</v>
      </c>
      <c r="C82" s="5">
        <v>1</v>
      </c>
      <c r="D82" s="5">
        <v>0</v>
      </c>
    </row>
    <row r="83" spans="1:4" x14ac:dyDescent="0.25">
      <c r="A83" s="5" t="s">
        <v>211</v>
      </c>
      <c r="B83" s="5">
        <v>7</v>
      </c>
      <c r="C83" s="5">
        <v>2</v>
      </c>
      <c r="D83" s="5">
        <v>0</v>
      </c>
    </row>
    <row r="84" spans="1:4" x14ac:dyDescent="0.25">
      <c r="A84" s="5" t="s">
        <v>212</v>
      </c>
      <c r="B84" s="5">
        <v>5</v>
      </c>
      <c r="C84" s="5">
        <v>3</v>
      </c>
      <c r="D84" s="5">
        <v>0</v>
      </c>
    </row>
    <row r="85" spans="1:4" x14ac:dyDescent="0.25">
      <c r="A85" s="5" t="s">
        <v>213</v>
      </c>
      <c r="B85" s="5">
        <v>8</v>
      </c>
      <c r="C85" s="5">
        <v>1</v>
      </c>
      <c r="D85" s="5">
        <v>0</v>
      </c>
    </row>
    <row r="86" spans="1:4" x14ac:dyDescent="0.25">
      <c r="A86" s="5" t="s">
        <v>214</v>
      </c>
      <c r="B86" s="5">
        <v>5</v>
      </c>
      <c r="C86" s="5">
        <v>0</v>
      </c>
      <c r="D86" s="5">
        <v>0</v>
      </c>
    </row>
    <row r="87" spans="1:4" x14ac:dyDescent="0.25">
      <c r="A87" s="5" t="s">
        <v>215</v>
      </c>
      <c r="B87" s="5">
        <v>8</v>
      </c>
      <c r="C87" s="5">
        <v>0</v>
      </c>
      <c r="D87" s="5">
        <v>0</v>
      </c>
    </row>
    <row r="88" spans="1:4" x14ac:dyDescent="0.25">
      <c r="A88" s="5" t="s">
        <v>216</v>
      </c>
      <c r="B88" s="5">
        <v>8</v>
      </c>
      <c r="C88" s="5">
        <v>0</v>
      </c>
      <c r="D88" s="5">
        <v>0</v>
      </c>
    </row>
    <row r="89" spans="1:4" x14ac:dyDescent="0.25">
      <c r="A89" s="5" t="s">
        <v>217</v>
      </c>
      <c r="B89" s="5">
        <v>7</v>
      </c>
      <c r="C89" s="5">
        <v>1</v>
      </c>
      <c r="D89" s="5">
        <v>1</v>
      </c>
    </row>
    <row r="90" spans="1:4" x14ac:dyDescent="0.25">
      <c r="A90" s="5" t="s">
        <v>218</v>
      </c>
      <c r="B90" s="5">
        <v>7</v>
      </c>
      <c r="C90" s="5">
        <v>0</v>
      </c>
      <c r="D90" s="5">
        <v>0</v>
      </c>
    </row>
    <row r="91" spans="1:4" x14ac:dyDescent="0.25">
      <c r="A91" s="5" t="s">
        <v>219</v>
      </c>
      <c r="B91" s="5">
        <v>6</v>
      </c>
      <c r="C91" s="5">
        <v>1</v>
      </c>
      <c r="D91" s="5">
        <v>0</v>
      </c>
    </row>
    <row r="92" spans="1:4" x14ac:dyDescent="0.25">
      <c r="A92" s="5" t="s">
        <v>220</v>
      </c>
      <c r="B92" s="5">
        <v>7</v>
      </c>
      <c r="C92" s="5">
        <v>2</v>
      </c>
      <c r="D92" s="5">
        <v>0</v>
      </c>
    </row>
    <row r="93" spans="1:4" x14ac:dyDescent="0.25">
      <c r="A93" s="5" t="s">
        <v>221</v>
      </c>
      <c r="B93" s="5">
        <v>6</v>
      </c>
      <c r="C93" s="5">
        <v>1</v>
      </c>
      <c r="D93" s="5">
        <v>1</v>
      </c>
    </row>
    <row r="94" spans="1:4" x14ac:dyDescent="0.25">
      <c r="A94" s="5" t="s">
        <v>222</v>
      </c>
      <c r="B94" s="5">
        <v>6</v>
      </c>
      <c r="C94" s="5">
        <v>2</v>
      </c>
      <c r="D94" s="5">
        <v>0</v>
      </c>
    </row>
    <row r="95" spans="1:4" x14ac:dyDescent="0.25">
      <c r="A95" s="5" t="s">
        <v>223</v>
      </c>
      <c r="B95" s="5">
        <v>6</v>
      </c>
      <c r="C95" s="5">
        <v>1</v>
      </c>
      <c r="D95" s="5">
        <v>0</v>
      </c>
    </row>
    <row r="96" spans="1:4" x14ac:dyDescent="0.25">
      <c r="A96" s="5" t="s">
        <v>224</v>
      </c>
      <c r="B96" s="5">
        <v>6</v>
      </c>
      <c r="C96" s="5">
        <v>0</v>
      </c>
      <c r="D96" s="5">
        <v>0</v>
      </c>
    </row>
    <row r="97" spans="1:4" x14ac:dyDescent="0.25">
      <c r="A97" s="5" t="s">
        <v>225</v>
      </c>
      <c r="B97" s="5">
        <v>6</v>
      </c>
      <c r="C97" s="5">
        <v>1</v>
      </c>
      <c r="D97" s="5">
        <v>0</v>
      </c>
    </row>
    <row r="98" spans="1:4" x14ac:dyDescent="0.25">
      <c r="A98" s="5" t="s">
        <v>226</v>
      </c>
      <c r="B98" s="5">
        <v>5</v>
      </c>
      <c r="C98" s="5">
        <v>1</v>
      </c>
      <c r="D98" s="5">
        <v>0</v>
      </c>
    </row>
    <row r="99" spans="1:4" x14ac:dyDescent="0.25">
      <c r="A99" s="5" t="s">
        <v>227</v>
      </c>
      <c r="B99" s="5">
        <v>7</v>
      </c>
      <c r="C99" s="5">
        <v>1</v>
      </c>
      <c r="D99" s="5">
        <v>0</v>
      </c>
    </row>
    <row r="100" spans="1:4" x14ac:dyDescent="0.25">
      <c r="A100" s="5" t="s">
        <v>228</v>
      </c>
      <c r="B100" s="5">
        <v>6</v>
      </c>
      <c r="C100" s="5">
        <v>2</v>
      </c>
      <c r="D100" s="5">
        <v>0</v>
      </c>
    </row>
    <row r="101" spans="1:4" x14ac:dyDescent="0.25">
      <c r="A101" s="5" t="s">
        <v>229</v>
      </c>
      <c r="B101" s="5">
        <v>8</v>
      </c>
      <c r="C101" s="5">
        <v>6</v>
      </c>
      <c r="D101" s="5">
        <v>0</v>
      </c>
    </row>
    <row r="102" spans="1:4" x14ac:dyDescent="0.25">
      <c r="A102" s="5" t="s">
        <v>230</v>
      </c>
      <c r="B102" s="5">
        <v>7</v>
      </c>
      <c r="C102" s="5">
        <v>1</v>
      </c>
      <c r="D102" s="5">
        <v>0</v>
      </c>
    </row>
    <row r="103" spans="1:4" x14ac:dyDescent="0.25">
      <c r="A103" s="5" t="s">
        <v>231</v>
      </c>
      <c r="B103" s="5">
        <v>7</v>
      </c>
      <c r="C103" s="5">
        <v>0</v>
      </c>
      <c r="D103" s="5">
        <v>0</v>
      </c>
    </row>
    <row r="104" spans="1:4" x14ac:dyDescent="0.25">
      <c r="A104" s="5" t="s">
        <v>232</v>
      </c>
      <c r="B104" s="5">
        <v>6</v>
      </c>
      <c r="C104" s="5">
        <v>1</v>
      </c>
      <c r="D104" s="5">
        <v>0</v>
      </c>
    </row>
    <row r="105" spans="1:4" x14ac:dyDescent="0.25">
      <c r="A105" s="5" t="s">
        <v>233</v>
      </c>
      <c r="B105" s="5">
        <v>5</v>
      </c>
      <c r="C105" s="5">
        <v>1</v>
      </c>
      <c r="D105" s="5">
        <v>0</v>
      </c>
    </row>
    <row r="106" spans="1:4" x14ac:dyDescent="0.25">
      <c r="A106" s="5" t="s">
        <v>234</v>
      </c>
      <c r="B106" s="5">
        <v>6</v>
      </c>
      <c r="C106" s="5">
        <v>1</v>
      </c>
      <c r="D106" s="5">
        <v>0</v>
      </c>
    </row>
    <row r="107" spans="1:4" x14ac:dyDescent="0.25">
      <c r="A107" s="5" t="s">
        <v>235</v>
      </c>
      <c r="B107" s="5">
        <v>5</v>
      </c>
      <c r="C107" s="5">
        <v>1</v>
      </c>
      <c r="D107" s="5">
        <v>0</v>
      </c>
    </row>
    <row r="108" spans="1:4" x14ac:dyDescent="0.25">
      <c r="A108" s="5" t="s">
        <v>236</v>
      </c>
      <c r="B108" s="5">
        <v>8</v>
      </c>
      <c r="C108" s="5">
        <v>2</v>
      </c>
      <c r="D108" s="5">
        <v>0</v>
      </c>
    </row>
    <row r="109" spans="1:4" x14ac:dyDescent="0.25">
      <c r="A109" s="5" t="s">
        <v>237</v>
      </c>
      <c r="B109" s="5">
        <v>7</v>
      </c>
      <c r="C109" s="5">
        <v>1</v>
      </c>
      <c r="D109" s="5">
        <v>1</v>
      </c>
    </row>
    <row r="110" spans="1:4" x14ac:dyDescent="0.25">
      <c r="A110" s="5" t="s">
        <v>238</v>
      </c>
      <c r="B110" s="5">
        <v>8</v>
      </c>
      <c r="C110" s="5">
        <v>2</v>
      </c>
      <c r="D110" s="5">
        <v>0</v>
      </c>
    </row>
    <row r="111" spans="1:4" x14ac:dyDescent="0.25">
      <c r="A111" s="5" t="s">
        <v>239</v>
      </c>
      <c r="B111" s="5">
        <v>5</v>
      </c>
      <c r="C111" s="5">
        <v>2</v>
      </c>
      <c r="D111" s="5">
        <v>0</v>
      </c>
    </row>
    <row r="112" spans="1:4" x14ac:dyDescent="0.25">
      <c r="A112" s="5" t="s">
        <v>240</v>
      </c>
      <c r="B112" s="5">
        <v>5</v>
      </c>
      <c r="C112" s="5">
        <v>2</v>
      </c>
      <c r="D112" s="5">
        <v>0</v>
      </c>
    </row>
    <row r="113" spans="1:4" x14ac:dyDescent="0.25">
      <c r="A113" s="5" t="s">
        <v>241</v>
      </c>
      <c r="B113" s="5">
        <v>8</v>
      </c>
      <c r="C113" s="5">
        <v>3</v>
      </c>
      <c r="D113" s="5">
        <v>0</v>
      </c>
    </row>
    <row r="114" spans="1:4" x14ac:dyDescent="0.25">
      <c r="A114" s="5" t="s">
        <v>242</v>
      </c>
      <c r="B114" s="5">
        <v>5</v>
      </c>
      <c r="C114" s="5">
        <v>0</v>
      </c>
      <c r="D114" s="5">
        <v>0</v>
      </c>
    </row>
    <row r="115" spans="1:4" x14ac:dyDescent="0.25">
      <c r="A115" s="5" t="s">
        <v>243</v>
      </c>
      <c r="B115" s="5">
        <v>8</v>
      </c>
      <c r="C115" s="5">
        <v>4</v>
      </c>
      <c r="D115" s="5">
        <v>0</v>
      </c>
    </row>
    <row r="116" spans="1:4" x14ac:dyDescent="0.25">
      <c r="A116" s="5" t="s">
        <v>244</v>
      </c>
      <c r="B116" s="5">
        <v>7</v>
      </c>
      <c r="C116" s="5">
        <v>2</v>
      </c>
      <c r="D116" s="5">
        <v>0</v>
      </c>
    </row>
    <row r="117" spans="1:4" x14ac:dyDescent="0.25">
      <c r="A117" s="5" t="s">
        <v>245</v>
      </c>
      <c r="B117" s="5">
        <v>8</v>
      </c>
      <c r="C117" s="5">
        <v>2</v>
      </c>
      <c r="D117" s="5">
        <v>0</v>
      </c>
    </row>
    <row r="118" spans="1:4" x14ac:dyDescent="0.25">
      <c r="A118" s="5" t="s">
        <v>246</v>
      </c>
      <c r="B118" s="5">
        <v>7</v>
      </c>
      <c r="C118" s="5">
        <v>0</v>
      </c>
      <c r="D118" s="5">
        <v>0</v>
      </c>
    </row>
    <row r="119" spans="1:4" x14ac:dyDescent="0.25">
      <c r="A119" s="5" t="s">
        <v>247</v>
      </c>
      <c r="B119" s="5">
        <v>8</v>
      </c>
      <c r="C119" s="5">
        <v>0</v>
      </c>
      <c r="D119" s="5">
        <v>0</v>
      </c>
    </row>
    <row r="120" spans="1:4" x14ac:dyDescent="0.25">
      <c r="A120" s="5" t="s">
        <v>248</v>
      </c>
      <c r="B120" s="5">
        <v>5</v>
      </c>
      <c r="C120" s="5">
        <v>2</v>
      </c>
      <c r="D120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5653-4417-41E6-ABED-FA0D0E7F419F}">
  <dimension ref="A1:H24"/>
  <sheetViews>
    <sheetView workbookViewId="0">
      <selection activeCell="D27" sqref="D27"/>
    </sheetView>
  </sheetViews>
  <sheetFormatPr defaultRowHeight="15" x14ac:dyDescent="0.25"/>
  <cols>
    <col min="1" max="1" width="16" customWidth="1"/>
    <col min="2" max="2" width="14" customWidth="1"/>
    <col min="3" max="3" width="32" customWidth="1"/>
    <col min="4" max="4" width="35" customWidth="1"/>
    <col min="5" max="5" width="32" customWidth="1"/>
    <col min="6" max="6" width="30" customWidth="1"/>
    <col min="7" max="7" width="65" customWidth="1"/>
    <col min="8" max="8" width="18" customWidth="1"/>
  </cols>
  <sheetData>
    <row r="1" spans="1:8" x14ac:dyDescent="0.25">
      <c r="A1" s="8" t="s">
        <v>0</v>
      </c>
      <c r="B1" s="8" t="s">
        <v>7</v>
      </c>
      <c r="C1" s="8" t="s">
        <v>259</v>
      </c>
      <c r="D1" s="8" t="s">
        <v>260</v>
      </c>
      <c r="E1" s="8" t="s">
        <v>261</v>
      </c>
      <c r="F1" s="8" t="s">
        <v>262</v>
      </c>
      <c r="G1" s="8" t="s">
        <v>263</v>
      </c>
      <c r="H1" s="8" t="s">
        <v>264</v>
      </c>
    </row>
    <row r="2" spans="1:8" x14ac:dyDescent="0.25">
      <c r="A2" s="5" t="s">
        <v>265</v>
      </c>
      <c r="B2" s="5" t="s">
        <v>106</v>
      </c>
      <c r="C2" s="5" t="s">
        <v>266</v>
      </c>
      <c r="D2" s="5" t="s">
        <v>267</v>
      </c>
      <c r="E2" s="5" t="s">
        <v>268</v>
      </c>
      <c r="F2" s="5" t="s">
        <v>269</v>
      </c>
      <c r="G2" s="5" t="s">
        <v>270</v>
      </c>
      <c r="H2" s="5" t="s">
        <v>271</v>
      </c>
    </row>
    <row r="3" spans="1:8" x14ac:dyDescent="0.25">
      <c r="A3" s="5" t="s">
        <v>272</v>
      </c>
      <c r="B3" s="5" t="s">
        <v>113</v>
      </c>
      <c r="C3" s="5" t="s">
        <v>273</v>
      </c>
      <c r="D3" s="5" t="s">
        <v>274</v>
      </c>
      <c r="E3" s="5" t="s">
        <v>275</v>
      </c>
      <c r="F3" s="5" t="s">
        <v>269</v>
      </c>
      <c r="G3" s="5" t="s">
        <v>276</v>
      </c>
      <c r="H3" s="5" t="s">
        <v>271</v>
      </c>
    </row>
    <row r="4" spans="1:8" x14ac:dyDescent="0.25">
      <c r="A4" s="5" t="s">
        <v>277</v>
      </c>
      <c r="B4" s="5" t="s">
        <v>103</v>
      </c>
      <c r="C4" s="5" t="s">
        <v>278</v>
      </c>
      <c r="D4" s="5" t="s">
        <v>279</v>
      </c>
      <c r="E4" s="5" t="s">
        <v>280</v>
      </c>
      <c r="F4" s="5" t="s">
        <v>281</v>
      </c>
      <c r="G4" s="5" t="s">
        <v>282</v>
      </c>
      <c r="H4" s="5" t="s">
        <v>283</v>
      </c>
    </row>
    <row r="5" spans="1:8" x14ac:dyDescent="0.25">
      <c r="A5" s="5" t="s">
        <v>277</v>
      </c>
      <c r="B5" s="5" t="s">
        <v>111</v>
      </c>
      <c r="C5" s="5" t="s">
        <v>284</v>
      </c>
      <c r="D5" s="5">
        <v>130</v>
      </c>
      <c r="E5" s="5" t="s">
        <v>285</v>
      </c>
      <c r="F5" s="5" t="s">
        <v>269</v>
      </c>
      <c r="G5" s="5" t="s">
        <v>286</v>
      </c>
      <c r="H5" s="5" t="s">
        <v>271</v>
      </c>
    </row>
    <row r="6" spans="1:8" x14ac:dyDescent="0.25">
      <c r="A6" s="5" t="s">
        <v>287</v>
      </c>
      <c r="B6" s="5" t="s">
        <v>121</v>
      </c>
      <c r="C6" s="5" t="s">
        <v>288</v>
      </c>
      <c r="D6" s="5">
        <v>-2</v>
      </c>
      <c r="E6" s="5" t="s">
        <v>275</v>
      </c>
      <c r="F6" s="5" t="s">
        <v>269</v>
      </c>
      <c r="G6" s="5" t="s">
        <v>289</v>
      </c>
      <c r="H6" s="5" t="s">
        <v>271</v>
      </c>
    </row>
    <row r="11" spans="1:8" x14ac:dyDescent="0.25">
      <c r="A11" t="s">
        <v>290</v>
      </c>
    </row>
    <row r="12" spans="1:8" x14ac:dyDescent="0.25">
      <c r="A12" s="7" t="s">
        <v>106</v>
      </c>
      <c r="B12" s="5" t="s">
        <v>107</v>
      </c>
      <c r="C12" s="5" t="s">
        <v>108</v>
      </c>
      <c r="D12" s="5">
        <v>5</v>
      </c>
      <c r="E12" s="5" t="s">
        <v>93</v>
      </c>
      <c r="F12" s="5" t="s">
        <v>94</v>
      </c>
      <c r="G12" s="6">
        <v>45916</v>
      </c>
    </row>
    <row r="13" spans="1:8" x14ac:dyDescent="0.25">
      <c r="A13" s="7" t="s">
        <v>106</v>
      </c>
      <c r="B13" s="5" t="s">
        <v>91</v>
      </c>
      <c r="C13" s="5" t="s">
        <v>92</v>
      </c>
      <c r="D13" s="5">
        <v>5</v>
      </c>
      <c r="E13" s="5" t="s">
        <v>93</v>
      </c>
      <c r="F13" s="5" t="s">
        <v>94</v>
      </c>
      <c r="G13" s="6">
        <v>45917</v>
      </c>
    </row>
    <row r="14" spans="1:8" x14ac:dyDescent="0.25">
      <c r="A14" s="5" t="s">
        <v>117</v>
      </c>
      <c r="B14" s="5" t="s">
        <v>118</v>
      </c>
      <c r="C14" s="5" t="s">
        <v>119</v>
      </c>
      <c r="D14" s="7" t="s">
        <v>120</v>
      </c>
      <c r="E14" s="5" t="s">
        <v>93</v>
      </c>
      <c r="F14" s="5" t="s">
        <v>105</v>
      </c>
      <c r="G14" s="6">
        <v>45959</v>
      </c>
    </row>
    <row r="16" spans="1:8" x14ac:dyDescent="0.25">
      <c r="A16" t="s">
        <v>291</v>
      </c>
    </row>
    <row r="17" spans="1:6" x14ac:dyDescent="0.25">
      <c r="A17" s="5" t="s">
        <v>113</v>
      </c>
      <c r="B17" s="5">
        <v>7</v>
      </c>
      <c r="C17" s="5">
        <v>158</v>
      </c>
      <c r="D17" s="5">
        <v>161</v>
      </c>
      <c r="E17" s="5">
        <v>5</v>
      </c>
      <c r="F17" s="5">
        <v>96.8</v>
      </c>
    </row>
    <row r="19" spans="1:6" x14ac:dyDescent="0.25">
      <c r="A19" s="5" t="s">
        <v>292</v>
      </c>
    </row>
    <row r="20" spans="1:6" x14ac:dyDescent="0.25">
      <c r="A20" s="5" t="s">
        <v>111</v>
      </c>
      <c r="B20" s="5">
        <v>7</v>
      </c>
      <c r="C20" s="5" t="s">
        <v>251</v>
      </c>
      <c r="D20" s="6">
        <v>46110</v>
      </c>
      <c r="E20" s="5">
        <v>130</v>
      </c>
      <c r="F20" s="5" t="s">
        <v>252</v>
      </c>
    </row>
    <row r="21" spans="1:6" x14ac:dyDescent="0.25">
      <c r="A21" s="7" t="s">
        <v>137</v>
      </c>
      <c r="B21" s="5">
        <v>8</v>
      </c>
      <c r="C21" s="5" t="s">
        <v>251</v>
      </c>
      <c r="D21" s="6">
        <v>46043</v>
      </c>
      <c r="E21" s="7"/>
      <c r="F21" s="5" t="s">
        <v>252</v>
      </c>
    </row>
    <row r="23" spans="1:6" x14ac:dyDescent="0.25">
      <c r="A23" s="5" t="s">
        <v>293</v>
      </c>
    </row>
    <row r="24" spans="1:6" x14ac:dyDescent="0.25">
      <c r="A24" s="5" t="s">
        <v>121</v>
      </c>
      <c r="B24" s="5">
        <v>7</v>
      </c>
      <c r="C24" s="5">
        <v>-2</v>
      </c>
      <c r="D24" s="5">
        <v>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AF81-225F-4ECE-AEED-D4CE1554E680}">
  <dimension ref="A1:O118"/>
  <sheetViews>
    <sheetView workbookViewId="0">
      <selection activeCell="I2" sqref="I2"/>
    </sheetView>
  </sheetViews>
  <sheetFormatPr defaultRowHeight="15" x14ac:dyDescent="0.25"/>
  <cols>
    <col min="1" max="1" width="10.85546875" style="14" bestFit="1" customWidth="1"/>
    <col min="2" max="2" width="17.28515625" style="14" bestFit="1" customWidth="1"/>
    <col min="3" max="3" width="6.42578125" style="14" bestFit="1" customWidth="1"/>
    <col min="4" max="4" width="11" style="14" bestFit="1" customWidth="1"/>
    <col min="5" max="5" width="17.5703125" style="14" bestFit="1" customWidth="1"/>
    <col min="6" max="6" width="16.42578125" style="14" bestFit="1" customWidth="1"/>
    <col min="7" max="7" width="13" style="14" customWidth="1"/>
    <col min="8" max="8" width="18.28515625" style="16" bestFit="1" customWidth="1"/>
    <col min="9" max="9" width="17.7109375" style="14" bestFit="1" customWidth="1"/>
    <col min="10" max="10" width="13.140625" style="14" bestFit="1" customWidth="1"/>
    <col min="11" max="11" width="19.140625" style="14" bestFit="1" customWidth="1"/>
    <col min="12" max="12" width="15.5703125" style="14" bestFit="1" customWidth="1"/>
    <col min="13" max="13" width="25" style="14" bestFit="1" customWidth="1"/>
    <col min="14" max="16384" width="9.140625" style="14"/>
  </cols>
  <sheetData>
    <row r="1" spans="1:15" x14ac:dyDescent="0.25">
      <c r="A1" s="12" t="s">
        <v>7</v>
      </c>
      <c r="B1" s="12" t="s">
        <v>297</v>
      </c>
      <c r="C1" s="12" t="s">
        <v>18</v>
      </c>
      <c r="D1" s="12" t="s">
        <v>26</v>
      </c>
      <c r="E1" s="12" t="s">
        <v>22</v>
      </c>
      <c r="F1" s="12" t="s">
        <v>50</v>
      </c>
      <c r="G1" s="12" t="s">
        <v>57</v>
      </c>
      <c r="H1" s="13" t="s">
        <v>69</v>
      </c>
      <c r="I1" s="12" t="s">
        <v>295</v>
      </c>
      <c r="J1" s="12" t="s">
        <v>65</v>
      </c>
      <c r="K1" s="12" t="s">
        <v>296</v>
      </c>
      <c r="L1" s="12" t="s">
        <v>258</v>
      </c>
      <c r="M1" s="18" t="s">
        <v>389</v>
      </c>
      <c r="N1" s="18" t="s">
        <v>390</v>
      </c>
    </row>
    <row r="2" spans="1:15" x14ac:dyDescent="0.25">
      <c r="A2" s="15" t="s">
        <v>90</v>
      </c>
      <c r="B2" s="15" t="str">
        <f>VLOOKUP(A:A,Student_Analysis_Ready!A:H,8,FALSE)</f>
        <v>Olivia Wilson</v>
      </c>
      <c r="C2" s="14">
        <f>VLOOKUP(A2,Student_Analysis_Ready!A:D,4,FALSE)</f>
        <v>8</v>
      </c>
      <c r="D2" s="14" t="str">
        <f>VLOOKUP(A:A,Student_Analysis_Ready!A:F,6,FALSE)</f>
        <v>MTSS Tier 2</v>
      </c>
      <c r="E2" s="14" t="str">
        <f>VLOOKUP(A:A,Student_Analysis_Ready!A:E,5,FALSE)</f>
        <v>Active</v>
      </c>
      <c r="F2" s="14">
        <f>IFERROR(VLOOKUP(A:A,Attendence_Analysis_Ready!A:F,6,FALSE),"Not Available")</f>
        <v>87.1</v>
      </c>
      <c r="G2" s="14" t="str">
        <f>IFERROR(VLOOKUP(A:A,Assessment_Analysis_Ready!A:C,3,FALSE),"Not Available")</f>
        <v>Science</v>
      </c>
      <c r="H2" s="16">
        <f>IFERROR(VLOOKUP(A:A,Assessment_Analysis_Ready!A:D,4,FALSE),"Not Available")</f>
        <v>46076</v>
      </c>
      <c r="I2" s="14">
        <f>IFERROR(VLOOKUP(A:A,Assessment_Analysis_Ready!A:E,5,FALSE),"Not Available")</f>
        <v>92</v>
      </c>
      <c r="J2" s="14" t="str">
        <f>IFERROR(VLOOKUP(A:A,Assessment_Analysis_Ready!A:F,6,FALSE),"Not Available")</f>
        <v>Met</v>
      </c>
      <c r="K2" s="14">
        <f>IFERROR(VLOOKUP(A:A,Discipline_Analysis_Ready!A:C,3,FALSE),"Not Available")</f>
        <v>1</v>
      </c>
      <c r="L2" s="14">
        <f>IFERROR(VLOOKUP(A:A,Discipline_Analysis_Ready!A:D,4,FALSE),"Not Available")</f>
        <v>0</v>
      </c>
      <c r="M2" s="14" t="s">
        <v>391</v>
      </c>
      <c r="N2" s="14">
        <f>COUNTA(A2:A118)</f>
        <v>117</v>
      </c>
    </row>
    <row r="3" spans="1:15" x14ac:dyDescent="0.25">
      <c r="A3" s="15" t="s">
        <v>95</v>
      </c>
      <c r="B3" s="15" t="str">
        <f>VLOOKUP(A:A,Student_Analysis_Ready!A:H,8,FALSE)</f>
        <v>Daniel Brown</v>
      </c>
      <c r="C3" s="14">
        <f>VLOOKUP(A3,Student_Analysis_Ready!A:D,4,FALSE)</f>
        <v>5</v>
      </c>
      <c r="D3" s="14" t="str">
        <f>VLOOKUP(A:A,Student_Analysis_Ready!A:F,6,FALSE)</f>
        <v>MTSS Tier 1</v>
      </c>
      <c r="E3" s="14" t="str">
        <f>VLOOKUP(A:A,Student_Analysis_Ready!A:E,5,FALSE)</f>
        <v>Withdrawn</v>
      </c>
      <c r="F3" s="14">
        <f>IFERROR(VLOOKUP(A:A,Attendence_Analysis_Ready!A:F,6,FALSE),"Not Available")</f>
        <v>94.9</v>
      </c>
      <c r="G3" s="14" t="str">
        <f>IFERROR(VLOOKUP(A:A,Assessment_Analysis_Ready!A:C,3,FALSE),"Not Available")</f>
        <v>ELA</v>
      </c>
      <c r="H3" s="16">
        <f>IFERROR(VLOOKUP(A:A,Assessment_Analysis_Ready!A:D,4,FALSE),"Not Available")</f>
        <v>46051</v>
      </c>
      <c r="I3" s="14">
        <f>IFERROR(VLOOKUP(A:A,Assessment_Analysis_Ready!A:E,5,FALSE),"Not Available")</f>
        <v>85</v>
      </c>
      <c r="J3" s="14" t="str">
        <f>IFERROR(VLOOKUP(A:A,Assessment_Analysis_Ready!A:F,6,FALSE),"Not Available")</f>
        <v>Met</v>
      </c>
      <c r="K3" s="14">
        <f>IFERROR(VLOOKUP(A:A,Discipline_Analysis_Ready!A:C,3,FALSE),"Not Available")</f>
        <v>0</v>
      </c>
      <c r="L3" s="14">
        <f>IFERROR(VLOOKUP(A:A,Discipline_Analysis_Ready!A:D,4,FALSE),"Not Available")</f>
        <v>0</v>
      </c>
      <c r="M3" s="14" t="s">
        <v>392</v>
      </c>
      <c r="N3" s="17">
        <f>AVERAGE(F2:F118)</f>
        <v>91.839130434782618</v>
      </c>
    </row>
    <row r="4" spans="1:15" x14ac:dyDescent="0.25">
      <c r="A4" s="15" t="s">
        <v>100</v>
      </c>
      <c r="B4" s="15" t="str">
        <f>VLOOKUP(A:A,Student_Analysis_Ready!A:H,8,FALSE)</f>
        <v>Charlotte Johnson</v>
      </c>
      <c r="C4" s="14">
        <f>VLOOKUP(A4,Student_Analysis_Ready!A:D,4,FALSE)</f>
        <v>7</v>
      </c>
      <c r="D4" s="14" t="str">
        <f>VLOOKUP(A:A,Student_Analysis_Ready!A:F,6,FALSE)</f>
        <v>MTSS Tier 1</v>
      </c>
      <c r="E4" s="14" t="str">
        <f>VLOOKUP(A:A,Student_Analysis_Ready!A:E,5,FALSE)</f>
        <v>Active</v>
      </c>
      <c r="F4" s="14">
        <f>IFERROR(VLOOKUP(A:A,Attendence_Analysis_Ready!A:F,6,FALSE),"Not Available")</f>
        <v>97.2</v>
      </c>
      <c r="G4" s="14" t="str">
        <f>IFERROR(VLOOKUP(A:A,Assessment_Analysis_Ready!A:C,3,FALSE),"Not Available")</f>
        <v>Science</v>
      </c>
      <c r="H4" s="16">
        <f>IFERROR(VLOOKUP(A:A,Assessment_Analysis_Ready!A:D,4,FALSE),"Not Available")</f>
        <v>46057</v>
      </c>
      <c r="I4" s="14">
        <f>IFERROR(VLOOKUP(A:A,Assessment_Analysis_Ready!A:E,5,FALSE),"Not Available")</f>
        <v>80</v>
      </c>
      <c r="J4" s="14" t="str">
        <f>IFERROR(VLOOKUP(A:A,Assessment_Analysis_Ready!A:F,6,FALSE),"Not Available")</f>
        <v>Met</v>
      </c>
      <c r="K4" s="14">
        <f>IFERROR(VLOOKUP(A:A,Discipline_Analysis_Ready!A:C,3,FALSE),"Not Available")</f>
        <v>2</v>
      </c>
      <c r="L4" s="14">
        <f>IFERROR(VLOOKUP(A:A,Discipline_Analysis_Ready!A:D,4,FALSE),"Not Available")</f>
        <v>0</v>
      </c>
      <c r="M4" s="14" t="s">
        <v>393</v>
      </c>
      <c r="N4" s="17">
        <f>+AVERAGE(I2:I118)</f>
        <v>78.10526315789474</v>
      </c>
    </row>
    <row r="5" spans="1:15" x14ac:dyDescent="0.25">
      <c r="A5" s="15" t="s">
        <v>103</v>
      </c>
      <c r="B5" s="15" t="str">
        <f>VLOOKUP(A:A,Student_Analysis_Ready!A:H,8,FALSE)</f>
        <v>Isabella Johnson</v>
      </c>
      <c r="C5" s="14">
        <f>VLOOKUP(A5,Student_Analysis_Ready!A:D,4,FALSE)</f>
        <v>8</v>
      </c>
      <c r="D5" s="14" t="str">
        <f>VLOOKUP(A:A,Student_Analysis_Ready!A:F,6,FALSE)</f>
        <v>Core</v>
      </c>
      <c r="E5" s="14" t="str">
        <f>VLOOKUP(A:A,Student_Analysis_Ready!A:E,5,FALSE)</f>
        <v>Active</v>
      </c>
      <c r="F5" s="14">
        <f>IFERROR(VLOOKUP(A:A,Attendence_Analysis_Ready!A:F,6,FALSE),"Not Available")</f>
        <v>100</v>
      </c>
      <c r="G5" s="14" t="str">
        <f>IFERROR(VLOOKUP(A:A,Assessment_Analysis_Ready!A:C,3,FALSE),"Not Available")</f>
        <v>Math</v>
      </c>
      <c r="H5" s="16">
        <f>IFERROR(VLOOKUP(A:A,Assessment_Analysis_Ready!A:D,4,FALSE),"Not Available")</f>
        <v>46083</v>
      </c>
      <c r="I5" s="14">
        <f>IFERROR(VLOOKUP(A:A,Assessment_Analysis_Ready!A:E,5,FALSE),"Not Available")</f>
        <v>86</v>
      </c>
      <c r="J5" s="14" t="str">
        <f>IFERROR(VLOOKUP(A:A,Assessment_Analysis_Ready!A:F,6,FALSE),"Not Available")</f>
        <v>Met</v>
      </c>
      <c r="K5" s="14">
        <f>IFERROR(VLOOKUP(A:A,Discipline_Analysis_Ready!A:C,3,FALSE),"Not Available")</f>
        <v>0</v>
      </c>
      <c r="L5" s="14">
        <f>IFERROR(VLOOKUP(A:A,Discipline_Analysis_Ready!A:D,4,FALSE),"Not Available")</f>
        <v>0</v>
      </c>
      <c r="M5" s="14" t="s">
        <v>394</v>
      </c>
      <c r="N5" s="14">
        <f>SUM(K2:K118)</f>
        <v>150</v>
      </c>
    </row>
    <row r="6" spans="1:15" x14ac:dyDescent="0.25">
      <c r="A6" s="15" t="s">
        <v>109</v>
      </c>
      <c r="B6" s="15" t="str">
        <f>VLOOKUP(A:A,Student_Analysis_Ready!A:H,8,FALSE)</f>
        <v>Ella Wilson</v>
      </c>
      <c r="C6" s="14">
        <f>VLOOKUP(A6,Student_Analysis_Ready!A:D,4,FALSE)</f>
        <v>6</v>
      </c>
      <c r="D6" s="14" t="str">
        <f>VLOOKUP(A:A,Student_Analysis_Ready!A:F,6,FALSE)</f>
        <v>MTSS Tier 1</v>
      </c>
      <c r="E6" s="14" t="str">
        <f>VLOOKUP(A:A,Student_Analysis_Ready!A:E,5,FALSE)</f>
        <v>Withdrawn</v>
      </c>
      <c r="F6" s="14">
        <f>IFERROR(VLOOKUP(A:A,Attendence_Analysis_Ready!A:F,6,FALSE),"Not Available")</f>
        <v>88.4</v>
      </c>
      <c r="G6" s="14" t="str">
        <f>IFERROR(VLOOKUP(A:A,Assessment_Analysis_Ready!A:C,3,FALSE),"Not Available")</f>
        <v>Science</v>
      </c>
      <c r="H6" s="16">
        <f>IFERROR(VLOOKUP(A:A,Assessment_Analysis_Ready!A:D,4,FALSE),"Not Available")</f>
        <v>46045</v>
      </c>
      <c r="I6" s="14">
        <f>IFERROR(VLOOKUP(A:A,Assessment_Analysis_Ready!A:E,5,FALSE),"Not Available")</f>
        <v>58</v>
      </c>
      <c r="J6" s="14" t="str">
        <f>IFERROR(VLOOKUP(A:A,Assessment_Analysis_Ready!A:F,6,FALSE),"Not Available")</f>
        <v>Below</v>
      </c>
      <c r="K6" s="14">
        <f>IFERROR(VLOOKUP(A:A,Discipline_Analysis_Ready!A:C,3,FALSE),"Not Available")</f>
        <v>0</v>
      </c>
      <c r="L6" s="14">
        <f>IFERROR(VLOOKUP(A:A,Discipline_Analysis_Ready!A:D,4,FALSE),"Not Available")</f>
        <v>0</v>
      </c>
      <c r="M6" s="14" t="s">
        <v>395</v>
      </c>
      <c r="N6" s="14">
        <f>SUM(L2:L118)</f>
        <v>13</v>
      </c>
    </row>
    <row r="7" spans="1:15" x14ac:dyDescent="0.25">
      <c r="A7" s="15" t="s">
        <v>111</v>
      </c>
      <c r="B7" s="15" t="str">
        <f>VLOOKUP(A:A,Student_Analysis_Ready!A:H,8,FALSE)</f>
        <v>Isabella Anderson</v>
      </c>
      <c r="C7" s="14">
        <f>VLOOKUP(A7,Student_Analysis_Ready!A:D,4,FALSE)</f>
        <v>7</v>
      </c>
      <c r="D7" s="14" t="str">
        <f>VLOOKUP(A:A,Student_Analysis_Ready!A:F,6,FALSE)</f>
        <v>MTSS Tier 2</v>
      </c>
      <c r="E7" s="14" t="str">
        <f>VLOOKUP(A:A,Student_Analysis_Ready!A:E,5,FALSE)</f>
        <v>Active</v>
      </c>
      <c r="F7" s="14">
        <f>IFERROR(VLOOKUP(A:A,Attendence_Analysis_Ready!A:F,6,FALSE),"Not Available")</f>
        <v>97.2</v>
      </c>
      <c r="G7" s="14" t="str">
        <f>IFERROR(VLOOKUP(A:A,Assessment_Analysis_Ready!A:C,3,FALSE),"Not Available")</f>
        <v>Not Available</v>
      </c>
      <c r="H7" s="16" t="str">
        <f>IFERROR(VLOOKUP(A:A,Assessment_Analysis_Ready!A:D,4,FALSE),"Not Available")</f>
        <v>Not Available</v>
      </c>
      <c r="I7" s="14" t="str">
        <f>IFERROR(VLOOKUP(A:A,Assessment_Analysis_Ready!A:E,5,FALSE),"Not Available")</f>
        <v>Not Available</v>
      </c>
      <c r="J7" s="14" t="str">
        <f>IFERROR(VLOOKUP(A:A,Assessment_Analysis_Ready!A:F,6,FALSE),"Not Available")</f>
        <v>Not Available</v>
      </c>
      <c r="K7" s="14">
        <f>IFERROR(VLOOKUP(A:A,Discipline_Analysis_Ready!A:C,3,FALSE),"Not Available")</f>
        <v>1</v>
      </c>
      <c r="L7" s="14">
        <f>IFERROR(VLOOKUP(A:A,Discipline_Analysis_Ready!A:D,4,FALSE),"Not Available")</f>
        <v>0</v>
      </c>
    </row>
    <row r="8" spans="1:15" x14ac:dyDescent="0.25">
      <c r="A8" s="15" t="s">
        <v>113</v>
      </c>
      <c r="B8" s="15" t="str">
        <f>VLOOKUP(A:A,Student_Analysis_Ready!A:H,8,FALSE)</f>
        <v>Isabella Johnson</v>
      </c>
      <c r="C8" s="14">
        <f>VLOOKUP(A8,Student_Analysis_Ready!A:D,4,FALSE)</f>
        <v>7</v>
      </c>
      <c r="D8" s="14" t="str">
        <f>VLOOKUP(A:A,Student_Analysis_Ready!A:F,6,FALSE)</f>
        <v>MTSS Tier 1</v>
      </c>
      <c r="E8" s="14" t="str">
        <f>VLOOKUP(A:A,Student_Analysis_Ready!A:E,5,FALSE)</f>
        <v>Active</v>
      </c>
      <c r="F8" s="14" t="str">
        <f>IFERROR(VLOOKUP(A:A,Attendence_Analysis_Ready!A:F,6,FALSE),"0")</f>
        <v>0</v>
      </c>
      <c r="G8" s="14" t="str">
        <f>IFERROR(VLOOKUP(A:A,Assessment_Analysis_Ready!A:C,3,FALSE),"Not Available")</f>
        <v>Science</v>
      </c>
      <c r="H8" s="16">
        <f>IFERROR(VLOOKUP(A:A,Assessment_Analysis_Ready!A:D,4,FALSE),"Not Available")</f>
        <v>46088</v>
      </c>
      <c r="I8" s="14">
        <f>IFERROR(VLOOKUP(A:A,Assessment_Analysis_Ready!A:E,5,FALSE),"Not Available")</f>
        <v>70</v>
      </c>
      <c r="J8" s="14" t="str">
        <f>IFERROR(VLOOKUP(A:A,Assessment_Analysis_Ready!A:F,6,FALSE),"Not Available")</f>
        <v>Met</v>
      </c>
      <c r="K8" s="14">
        <f>IFERROR(VLOOKUP(A:A,Discipline_Analysis_Ready!A:C,3,FALSE),"Not Available")</f>
        <v>0</v>
      </c>
      <c r="L8" s="14">
        <f>IFERROR(VLOOKUP(A:A,Discipline_Analysis_Ready!A:D,4,FALSE),"Not Available")</f>
        <v>0</v>
      </c>
    </row>
    <row r="9" spans="1:15" x14ac:dyDescent="0.25">
      <c r="A9" s="15" t="s">
        <v>114</v>
      </c>
      <c r="B9" s="15" t="str">
        <f>VLOOKUP(A:A,Student_Analysis_Ready!A:H,8,FALSE)</f>
        <v>Noah Wilson</v>
      </c>
      <c r="C9" s="14">
        <f>VLOOKUP(A9,Student_Analysis_Ready!A:D,4,FALSE)</f>
        <v>6</v>
      </c>
      <c r="D9" s="14" t="str">
        <f>VLOOKUP(A:A,Student_Analysis_Ready!A:F,6,FALSE)</f>
        <v>Core</v>
      </c>
      <c r="E9" s="14" t="str">
        <f>VLOOKUP(A:A,Student_Analysis_Ready!A:E,5,FALSE)</f>
        <v>Active</v>
      </c>
      <c r="F9" s="14">
        <f>IFERROR(VLOOKUP(A:A,Attendence_Analysis_Ready!A:F,6,FALSE),"0")</f>
        <v>82.1</v>
      </c>
      <c r="G9" s="14" t="str">
        <f>IFERROR(VLOOKUP(A:A,Assessment_Analysis_Ready!A:C,3,FALSE),"Not Available")</f>
        <v>Math</v>
      </c>
      <c r="H9" s="16">
        <f>IFERROR(VLOOKUP(A:A,Assessment_Analysis_Ready!A:D,4,FALSE),"Not Available")</f>
        <v>46093</v>
      </c>
      <c r="I9" s="14">
        <f>IFERROR(VLOOKUP(A:A,Assessment_Analysis_Ready!A:E,5,FALSE),"Not Available")</f>
        <v>89</v>
      </c>
      <c r="J9" s="14" t="str">
        <f>IFERROR(VLOOKUP(A:A,Assessment_Analysis_Ready!A:F,6,FALSE),"Not Available")</f>
        <v>Met</v>
      </c>
      <c r="K9" s="14">
        <f>IFERROR(VLOOKUP(A:A,Discipline_Analysis_Ready!A:C,3,FALSE),"Not Available")</f>
        <v>1</v>
      </c>
      <c r="L9" s="14">
        <f>IFERROR(VLOOKUP(A:A,Discipline_Analysis_Ready!A:D,4,FALSE),"Not Available")</f>
        <v>0</v>
      </c>
    </row>
    <row r="10" spans="1:15" x14ac:dyDescent="0.25">
      <c r="A10" s="15" t="s">
        <v>116</v>
      </c>
      <c r="B10" s="15" t="str">
        <f>VLOOKUP(A:A,Student_Analysis_Ready!A:H,8,FALSE)</f>
        <v>Lucas Anderson</v>
      </c>
      <c r="C10" s="14">
        <f>VLOOKUP(A10,Student_Analysis_Ready!A:D,4,FALSE)</f>
        <v>6</v>
      </c>
      <c r="D10" s="14" t="str">
        <f>VLOOKUP(A:A,Student_Analysis_Ready!A:F,6,FALSE)</f>
        <v>Core</v>
      </c>
      <c r="E10" s="14" t="str">
        <f>VLOOKUP(A:A,Student_Analysis_Ready!A:E,5,FALSE)</f>
        <v>Withdrawn</v>
      </c>
      <c r="F10" s="14">
        <f>IFERROR(VLOOKUP(A:A,Attendence_Analysis_Ready!A:F,6,FALSE),"0")</f>
        <v>84.2</v>
      </c>
      <c r="G10" s="14" t="str">
        <f>IFERROR(VLOOKUP(A:A,Assessment_Analysis_Ready!A:C,3,FALSE),"Not Available")</f>
        <v>Math</v>
      </c>
      <c r="H10" s="16">
        <f>IFERROR(VLOOKUP(A:A,Assessment_Analysis_Ready!A:D,4,FALSE),"Not Available")</f>
        <v>46062</v>
      </c>
      <c r="I10" s="14">
        <f>IFERROR(VLOOKUP(A:A,Assessment_Analysis_Ready!A:E,5,FALSE),"Not Available")</f>
        <v>90</v>
      </c>
      <c r="J10" s="14" t="str">
        <f>IFERROR(VLOOKUP(A:A,Assessment_Analysis_Ready!A:F,6,FALSE),"Not Available")</f>
        <v>Met</v>
      </c>
      <c r="K10" s="14">
        <f>IFERROR(VLOOKUP(A:A,Discipline_Analysis_Ready!A:C,3,FALSE),"Not Available")</f>
        <v>1</v>
      </c>
      <c r="L10" s="14">
        <f>IFERROR(VLOOKUP(A:A,Discipline_Analysis_Ready!A:D,4,FALSE),"Not Available")</f>
        <v>0</v>
      </c>
    </row>
    <row r="11" spans="1:15" x14ac:dyDescent="0.25">
      <c r="A11" s="15" t="s">
        <v>121</v>
      </c>
      <c r="B11" s="15" t="str">
        <f>VLOOKUP(A:A,Student_Analysis_Ready!A:H,8,FALSE)</f>
        <v>Liam Patel</v>
      </c>
      <c r="C11" s="14">
        <f>VLOOKUP(A11,Student_Analysis_Ready!A:D,4,FALSE)</f>
        <v>7</v>
      </c>
      <c r="D11" s="14" t="str">
        <f>VLOOKUP(A:A,Student_Analysis_Ready!A:F,6,FALSE)</f>
        <v>Core</v>
      </c>
      <c r="E11" s="14" t="str">
        <f>VLOOKUP(A:A,Student_Analysis_Ready!A:E,5,FALSE)</f>
        <v>Active</v>
      </c>
      <c r="F11" s="14">
        <f>IFERROR(VLOOKUP(A:A,Attendence_Analysis_Ready!A:F,6,FALSE),"0")</f>
        <v>93.5</v>
      </c>
      <c r="G11" s="14" t="str">
        <f>IFERROR(VLOOKUP(A:A,Assessment_Analysis_Ready!A:C,3,FALSE),"Not Available")</f>
        <v>Math</v>
      </c>
      <c r="H11" s="16">
        <f>IFERROR(VLOOKUP(A:A,Assessment_Analysis_Ready!A:D,4,FALSE),"Not Available")</f>
        <v>46071</v>
      </c>
      <c r="I11" s="14">
        <f>IFERROR(VLOOKUP(A:A,Assessment_Analysis_Ready!A:E,5,FALSE),"Not Available")</f>
        <v>87</v>
      </c>
      <c r="J11" s="14" t="str">
        <f>IFERROR(VLOOKUP(A:A,Assessment_Analysis_Ready!A:F,6,FALSE),"Not Available")</f>
        <v>Met</v>
      </c>
      <c r="K11" s="14" t="str">
        <f>IFERROR(VLOOKUP(A:A,Discipline_Analysis_Ready!A:C,3,FALSE),"Not Available")</f>
        <v>Not Available</v>
      </c>
      <c r="L11" s="14" t="str">
        <f>IFERROR(VLOOKUP(A:A,Discipline_Analysis_Ready!A:D,4,FALSE),"Not Available")</f>
        <v>Not Available</v>
      </c>
    </row>
    <row r="12" spans="1:15" x14ac:dyDescent="0.25">
      <c r="A12" s="15" t="s">
        <v>124</v>
      </c>
      <c r="B12" s="15" t="str">
        <f>VLOOKUP(A:A,Student_Analysis_Ready!A:H,8,FALSE)</f>
        <v>James Thomas</v>
      </c>
      <c r="C12" s="14">
        <f>VLOOKUP(A12,Student_Analysis_Ready!A:D,4,FALSE)</f>
        <v>8</v>
      </c>
      <c r="D12" s="14" t="str">
        <f>VLOOKUP(A:A,Student_Analysis_Ready!A:F,6,FALSE)</f>
        <v>Core</v>
      </c>
      <c r="E12" s="14" t="str">
        <f>VLOOKUP(A:A,Student_Analysis_Ready!A:E,5,FALSE)</f>
        <v>Active</v>
      </c>
      <c r="F12" s="14">
        <f>IFERROR(VLOOKUP(A:A,Attendence_Analysis_Ready!A:F,6,FALSE),"0")</f>
        <v>86.1</v>
      </c>
      <c r="G12" s="14" t="str">
        <f>IFERROR(VLOOKUP(A:A,Assessment_Analysis_Ready!A:C,3,FALSE),"Not Available")</f>
        <v>Science</v>
      </c>
      <c r="H12" s="16">
        <f>IFERROR(VLOOKUP(A:A,Assessment_Analysis_Ready!A:D,4,FALSE),"Not Available")</f>
        <v>46099</v>
      </c>
      <c r="I12" s="14">
        <f>IFERROR(VLOOKUP(A:A,Assessment_Analysis_Ready!A:E,5,FALSE),"Not Available")</f>
        <v>72</v>
      </c>
      <c r="J12" s="14" t="str">
        <f>IFERROR(VLOOKUP(A:A,Assessment_Analysis_Ready!A:F,6,FALSE),"Not Available")</f>
        <v>Met</v>
      </c>
      <c r="K12" s="14">
        <f>IFERROR(VLOOKUP(A:A,Discipline_Analysis_Ready!A:C,3,FALSE),"Not Available")</f>
        <v>3</v>
      </c>
      <c r="L12" s="14">
        <f>IFERROR(VLOOKUP(A:A,Discipline_Analysis_Ready!A:D,4,FALSE),"Not Available")</f>
        <v>1</v>
      </c>
    </row>
    <row r="13" spans="1:15" x14ac:dyDescent="0.25">
      <c r="A13" s="15" t="s">
        <v>127</v>
      </c>
      <c r="B13" s="15" t="str">
        <f>VLOOKUP(A:A,Student_Analysis_Ready!A:H,8,FALSE)</f>
        <v>Ethan Smith</v>
      </c>
      <c r="C13" s="14">
        <f>VLOOKUP(A13,Student_Analysis_Ready!A:D,4,FALSE)</f>
        <v>8</v>
      </c>
      <c r="D13" s="14" t="str">
        <f>VLOOKUP(A:A,Student_Analysis_Ready!A:F,6,FALSE)</f>
        <v>MTSS Tier 1</v>
      </c>
      <c r="E13" s="14" t="str">
        <f>VLOOKUP(A:A,Student_Analysis_Ready!A:E,5,FALSE)</f>
        <v>Active</v>
      </c>
      <c r="F13" s="14">
        <f>IFERROR(VLOOKUP(A:A,Attendence_Analysis_Ready!A:F,6,FALSE),"0")</f>
        <v>83.3</v>
      </c>
      <c r="G13" s="14" t="str">
        <f>IFERROR(VLOOKUP(A:A,Assessment_Analysis_Ready!A:C,3,FALSE),"Not Available")</f>
        <v>Science</v>
      </c>
      <c r="H13" s="16">
        <f>IFERROR(VLOOKUP(A:A,Assessment_Analysis_Ready!A:D,4,FALSE),"Not Available")</f>
        <v>46061</v>
      </c>
      <c r="I13" s="14">
        <f>IFERROR(VLOOKUP(A:A,Assessment_Analysis_Ready!A:E,5,FALSE),"Not Available")</f>
        <v>72</v>
      </c>
      <c r="J13" s="14" t="str">
        <f>IFERROR(VLOOKUP(A:A,Assessment_Analysis_Ready!A:F,6,FALSE),"Not Available")</f>
        <v>Met</v>
      </c>
      <c r="K13" s="14">
        <f>IFERROR(VLOOKUP(A:A,Discipline_Analysis_Ready!A:C,3,FALSE),"Not Available")</f>
        <v>1</v>
      </c>
      <c r="L13" s="14">
        <f>IFERROR(VLOOKUP(A:A,Discipline_Analysis_Ready!A:D,4,FALSE),"Not Available")</f>
        <v>0</v>
      </c>
    </row>
    <row r="14" spans="1:15" x14ac:dyDescent="0.25">
      <c r="A14" s="15" t="s">
        <v>130</v>
      </c>
      <c r="B14" s="15" t="str">
        <f>VLOOKUP(A:A,Student_Analysis_Ready!A:H,8,FALSE)</f>
        <v>Liam Taylor</v>
      </c>
      <c r="C14" s="14">
        <f>VLOOKUP(A14,Student_Analysis_Ready!A:D,4,FALSE)</f>
        <v>6</v>
      </c>
      <c r="D14" s="14" t="str">
        <f>VLOOKUP(A:A,Student_Analysis_Ready!A:F,6,FALSE)</f>
        <v>Core</v>
      </c>
      <c r="E14" s="14" t="str">
        <f>VLOOKUP(A:A,Student_Analysis_Ready!A:E,5,FALSE)</f>
        <v>Active</v>
      </c>
      <c r="F14" s="14">
        <f>IFERROR(VLOOKUP(A:A,Attendence_Analysis_Ready!A:F,6,FALSE),"0")</f>
        <v>95.1</v>
      </c>
      <c r="G14" s="14" t="str">
        <f>IFERROR(VLOOKUP(A:A,Assessment_Analysis_Ready!A:C,3,FALSE),"Not Available")</f>
        <v>ELA</v>
      </c>
      <c r="H14" s="16">
        <f>IFERROR(VLOOKUP(A:A,Assessment_Analysis_Ready!A:D,4,FALSE),"Not Available")</f>
        <v>46126</v>
      </c>
      <c r="I14" s="14">
        <f>IFERROR(VLOOKUP(A:A,Assessment_Analysis_Ready!A:E,5,FALSE),"Not Available")</f>
        <v>79</v>
      </c>
      <c r="J14" s="14" t="str">
        <f>IFERROR(VLOOKUP(A:A,Assessment_Analysis_Ready!A:F,6,FALSE),"Not Available")</f>
        <v>Met</v>
      </c>
      <c r="K14" s="14">
        <f>IFERROR(VLOOKUP(A:A,Discipline_Analysis_Ready!A:C,3,FALSE),"Not Available")</f>
        <v>0</v>
      </c>
      <c r="L14" s="14">
        <f>IFERROR(VLOOKUP(A:A,Discipline_Analysis_Ready!A:D,4,FALSE),"Not Available")</f>
        <v>0</v>
      </c>
    </row>
    <row r="15" spans="1:15" x14ac:dyDescent="0.25">
      <c r="A15" s="15" t="s">
        <v>132</v>
      </c>
      <c r="B15" s="15" t="str">
        <f>VLOOKUP(A:A,Student_Analysis_Ready!A:H,8,FALSE)</f>
        <v>Ava Miller</v>
      </c>
      <c r="C15" s="14">
        <f>VLOOKUP(A15,Student_Analysis_Ready!A:D,4,FALSE)</f>
        <v>8</v>
      </c>
      <c r="D15" s="14" t="str">
        <f>VLOOKUP(A:A,Student_Analysis_Ready!A:F,6,FALSE)</f>
        <v>MTSS Tier 1</v>
      </c>
      <c r="E15" s="14" t="str">
        <f>VLOOKUP(A:A,Student_Analysis_Ready!A:E,5,FALSE)</f>
        <v>Active</v>
      </c>
      <c r="F15" s="14">
        <f>IFERROR(VLOOKUP(A:A,Attendence_Analysis_Ready!A:F,6,FALSE),"0")</f>
        <v>80.400000000000006</v>
      </c>
      <c r="G15" s="14" t="str">
        <f>IFERROR(VLOOKUP(A:A,Assessment_Analysis_Ready!A:C,3,FALSE),"Not Available")</f>
        <v>ELA</v>
      </c>
      <c r="H15" s="16">
        <f>IFERROR(VLOOKUP(A:A,Assessment_Analysis_Ready!A:D,4,FALSE),"Not Available")</f>
        <v>46111</v>
      </c>
      <c r="I15" s="14">
        <f>IFERROR(VLOOKUP(A:A,Assessment_Analysis_Ready!A:E,5,FALSE),"Not Available")</f>
        <v>79</v>
      </c>
      <c r="J15" s="14" t="str">
        <f>IFERROR(VLOOKUP(A:A,Assessment_Analysis_Ready!A:F,6,FALSE),"Not Available")</f>
        <v>Met</v>
      </c>
      <c r="K15" s="14">
        <f>IFERROR(VLOOKUP(A:A,Discipline_Analysis_Ready!A:C,3,FALSE),"Not Available")</f>
        <v>1</v>
      </c>
      <c r="L15" s="14">
        <f>IFERROR(VLOOKUP(A:A,Discipline_Analysis_Ready!A:D,4,FALSE),"Not Available")</f>
        <v>0</v>
      </c>
    </row>
    <row r="16" spans="1:15" x14ac:dyDescent="0.25">
      <c r="A16" s="15" t="s">
        <v>135</v>
      </c>
      <c r="B16" s="15" t="str">
        <f>VLOOKUP(A:A,Student_Analysis_Ready!A:H,8,FALSE)</f>
        <v>James Lee</v>
      </c>
      <c r="C16" s="14">
        <f>VLOOKUP(A16,Student_Analysis_Ready!A:D,4,FALSE)</f>
        <v>5</v>
      </c>
      <c r="D16" s="14" t="str">
        <f>VLOOKUP(A:A,Student_Analysis_Ready!A:F,6,FALSE)</f>
        <v>Core</v>
      </c>
      <c r="E16" s="14" t="str">
        <f>VLOOKUP(A:A,Student_Analysis_Ready!A:E,5,FALSE)</f>
        <v>Active</v>
      </c>
      <c r="F16" s="14">
        <f>IFERROR(VLOOKUP(A:A,Attendence_Analysis_Ready!A:F,6,FALSE),"0")</f>
        <v>98.6</v>
      </c>
      <c r="G16" s="14" t="str">
        <f>IFERROR(VLOOKUP(A:A,Assessment_Analysis_Ready!A:C,3,FALSE),"Not Available")</f>
        <v>Math</v>
      </c>
      <c r="H16" s="16">
        <f>IFERROR(VLOOKUP(A:A,Assessment_Analysis_Ready!A:D,4,FALSE),"Not Available")</f>
        <v>46074</v>
      </c>
      <c r="I16" s="14">
        <f>IFERROR(VLOOKUP(A:A,Assessment_Analysis_Ready!A:E,5,FALSE),"Not Available")</f>
        <v>76</v>
      </c>
      <c r="J16" s="14" t="str">
        <f>IFERROR(VLOOKUP(A:A,Assessment_Analysis_Ready!A:F,6,FALSE),"Not Available")</f>
        <v>Met</v>
      </c>
      <c r="K16" s="14">
        <f>IFERROR(VLOOKUP(A:A,Discipline_Analysis_Ready!A:C,3,FALSE),"Not Available")</f>
        <v>2</v>
      </c>
      <c r="L16" s="14">
        <f>IFERROR(VLOOKUP(A:A,Discipline_Analysis_Ready!A:D,4,FALSE),"Not Available")</f>
        <v>0</v>
      </c>
      <c r="M16"/>
      <c r="N16"/>
      <c r="O16"/>
    </row>
    <row r="17" spans="1:15" x14ac:dyDescent="0.25">
      <c r="A17" s="15" t="s">
        <v>136</v>
      </c>
      <c r="B17" s="15" t="str">
        <f>VLOOKUP(A:A,Student_Analysis_Ready!A:H,8,FALSE)</f>
        <v>James Patel</v>
      </c>
      <c r="C17" s="14">
        <f>VLOOKUP(A17,Student_Analysis_Ready!A:D,4,FALSE)</f>
        <v>8</v>
      </c>
      <c r="D17" s="14" t="str">
        <f>VLOOKUP(A:A,Student_Analysis_Ready!A:F,6,FALSE)</f>
        <v>MTSS Tier 1</v>
      </c>
      <c r="E17" s="14" t="str">
        <f>VLOOKUP(A:A,Student_Analysis_Ready!A:E,5,FALSE)</f>
        <v>Active</v>
      </c>
      <c r="F17" s="14">
        <f>IFERROR(VLOOKUP(A:A,Attendence_Analysis_Ready!A:F,6,FALSE),"0")</f>
        <v>89.3</v>
      </c>
      <c r="G17" s="14" t="str">
        <f>IFERROR(VLOOKUP(A:A,Assessment_Analysis_Ready!A:C,3,FALSE),"Not Available")</f>
        <v>Science</v>
      </c>
      <c r="H17" s="16">
        <f>IFERROR(VLOOKUP(A:A,Assessment_Analysis_Ready!A:D,4,FALSE),"Not Available")</f>
        <v>46038</v>
      </c>
      <c r="I17" s="14">
        <f>IFERROR(VLOOKUP(A:A,Assessment_Analysis_Ready!A:E,5,FALSE),"Not Available")</f>
        <v>60</v>
      </c>
      <c r="J17" s="14" t="str">
        <f>IFERROR(VLOOKUP(A:A,Assessment_Analysis_Ready!A:F,6,FALSE),"Not Available")</f>
        <v>Below</v>
      </c>
      <c r="K17" s="14">
        <f>IFERROR(VLOOKUP(A:A,Discipline_Analysis_Ready!A:C,3,FALSE),"Not Available")</f>
        <v>4</v>
      </c>
      <c r="L17" s="14">
        <f>IFERROR(VLOOKUP(A:A,Discipline_Analysis_Ready!A:D,4,FALSE),"Not Available")</f>
        <v>1</v>
      </c>
      <c r="M17"/>
      <c r="N17"/>
      <c r="O17"/>
    </row>
    <row r="18" spans="1:15" x14ac:dyDescent="0.25">
      <c r="A18" s="15" t="s">
        <v>137</v>
      </c>
      <c r="B18" s="15" t="str">
        <f>VLOOKUP(A:A,Student_Analysis_Ready!A:H,8,FALSE)</f>
        <v>Harper Thomas</v>
      </c>
      <c r="C18" s="14">
        <f>VLOOKUP(A18,Student_Analysis_Ready!A:D,4,FALSE)</f>
        <v>8</v>
      </c>
      <c r="D18" s="14" t="str">
        <f>VLOOKUP(A:A,Student_Analysis_Ready!A:F,6,FALSE)</f>
        <v>Core</v>
      </c>
      <c r="E18" s="14" t="str">
        <f>VLOOKUP(A:A,Student_Analysis_Ready!A:E,5,FALSE)</f>
        <v>Active</v>
      </c>
      <c r="F18" s="14">
        <f>IFERROR(VLOOKUP(A:A,Attendence_Analysis_Ready!A:F,6,FALSE),"0")</f>
        <v>95.7</v>
      </c>
      <c r="G18" s="14" t="str">
        <f>IFERROR(VLOOKUP(A:A,Assessment_Analysis_Ready!A:C,3,FALSE),"Not Available")</f>
        <v>Not Available</v>
      </c>
      <c r="H18" s="16" t="str">
        <f>IFERROR(VLOOKUP(A:A,Assessment_Analysis_Ready!A:D,4,FALSE),"Not Available")</f>
        <v>Not Available</v>
      </c>
      <c r="I18" s="14" t="str">
        <f>IFERROR(VLOOKUP(A:A,Assessment_Analysis_Ready!A:E,5,FALSE),"Not Available")</f>
        <v>Not Available</v>
      </c>
      <c r="J18" s="14" t="str">
        <f>IFERROR(VLOOKUP(A:A,Assessment_Analysis_Ready!A:F,6,FALSE),"Not Available")</f>
        <v>Not Available</v>
      </c>
      <c r="K18" s="14">
        <f>IFERROR(VLOOKUP(A:A,Discipline_Analysis_Ready!A:C,3,FALSE),"Not Available")</f>
        <v>2</v>
      </c>
      <c r="L18" s="14">
        <f>IFERROR(VLOOKUP(A:A,Discipline_Analysis_Ready!A:D,4,FALSE),"Not Available")</f>
        <v>0</v>
      </c>
      <c r="M18"/>
      <c r="N18"/>
      <c r="O18"/>
    </row>
    <row r="19" spans="1:15" x14ac:dyDescent="0.25">
      <c r="A19" s="15" t="s">
        <v>139</v>
      </c>
      <c r="B19" s="15" t="str">
        <f>VLOOKUP(A:A,Student_Analysis_Ready!A:H,8,FALSE)</f>
        <v>Mason Thomas</v>
      </c>
      <c r="C19" s="14">
        <f>VLOOKUP(A19,Student_Analysis_Ready!A:D,4,FALSE)</f>
        <v>5</v>
      </c>
      <c r="D19" s="14" t="str">
        <f>VLOOKUP(A:A,Student_Analysis_Ready!A:F,6,FALSE)</f>
        <v>Core</v>
      </c>
      <c r="E19" s="14" t="str">
        <f>VLOOKUP(A:A,Student_Analysis_Ready!A:E,5,FALSE)</f>
        <v>Active</v>
      </c>
      <c r="F19" s="14">
        <f>IFERROR(VLOOKUP(A:A,Attendence_Analysis_Ready!A:F,6,FALSE),"0")</f>
        <v>96.2</v>
      </c>
      <c r="G19" s="14" t="str">
        <f>IFERROR(VLOOKUP(A:A,Assessment_Analysis_Ready!A:C,3,FALSE),"Not Available")</f>
        <v>Science</v>
      </c>
      <c r="H19" s="16">
        <f>IFERROR(VLOOKUP(A:A,Assessment_Analysis_Ready!A:D,4,FALSE),"Not Available")</f>
        <v>46118</v>
      </c>
      <c r="I19" s="14">
        <f>IFERROR(VLOOKUP(A:A,Assessment_Analysis_Ready!A:E,5,FALSE),"Not Available")</f>
        <v>100</v>
      </c>
      <c r="J19" s="14" t="str">
        <f>IFERROR(VLOOKUP(A:A,Assessment_Analysis_Ready!A:F,6,FALSE),"Not Available")</f>
        <v>Met</v>
      </c>
      <c r="K19" s="14">
        <f>IFERROR(VLOOKUP(A:A,Discipline_Analysis_Ready!A:C,3,FALSE),"Not Available")</f>
        <v>2</v>
      </c>
      <c r="L19" s="14">
        <f>IFERROR(VLOOKUP(A:A,Discipline_Analysis_Ready!A:D,4,FALSE),"Not Available")</f>
        <v>1</v>
      </c>
      <c r="M19"/>
      <c r="N19"/>
      <c r="O19"/>
    </row>
    <row r="20" spans="1:15" x14ac:dyDescent="0.25">
      <c r="A20" s="15" t="s">
        <v>141</v>
      </c>
      <c r="B20" s="15" t="str">
        <f>VLOOKUP(A:A,Student_Analysis_Ready!A:H,8,FALSE)</f>
        <v>Leo Thomas</v>
      </c>
      <c r="C20" s="14">
        <f>VLOOKUP(A20,Student_Analysis_Ready!A:D,4,FALSE)</f>
        <v>6</v>
      </c>
      <c r="D20" s="14" t="str">
        <f>VLOOKUP(A:A,Student_Analysis_Ready!A:F,6,FALSE)</f>
        <v>Core</v>
      </c>
      <c r="E20" s="14" t="str">
        <f>VLOOKUP(A:A,Student_Analysis_Ready!A:E,5,FALSE)</f>
        <v>Active</v>
      </c>
      <c r="F20" s="14">
        <f>IFERROR(VLOOKUP(A:A,Attendence_Analysis_Ready!A:F,6,FALSE),"0")</f>
        <v>96.9</v>
      </c>
      <c r="G20" s="14" t="str">
        <f>IFERROR(VLOOKUP(A:A,Assessment_Analysis_Ready!A:C,3,FALSE),"Not Available")</f>
        <v>ELA</v>
      </c>
      <c r="H20" s="16">
        <f>IFERROR(VLOOKUP(A:A,Assessment_Analysis_Ready!A:D,4,FALSE),"Not Available")</f>
        <v>46070</v>
      </c>
      <c r="I20" s="14">
        <f>IFERROR(VLOOKUP(A:A,Assessment_Analysis_Ready!A:E,5,FALSE),"Not Available")</f>
        <v>43</v>
      </c>
      <c r="J20" s="14" t="str">
        <f>IFERROR(VLOOKUP(A:A,Assessment_Analysis_Ready!A:F,6,FALSE),"Not Available")</f>
        <v>Below</v>
      </c>
      <c r="K20" s="14">
        <f>IFERROR(VLOOKUP(A:A,Discipline_Analysis_Ready!A:C,3,FALSE),"Not Available")</f>
        <v>1</v>
      </c>
      <c r="L20" s="14">
        <f>IFERROR(VLOOKUP(A:A,Discipline_Analysis_Ready!A:D,4,FALSE),"Not Available")</f>
        <v>0</v>
      </c>
      <c r="M20"/>
      <c r="N20"/>
      <c r="O20"/>
    </row>
    <row r="21" spans="1:15" x14ac:dyDescent="0.25">
      <c r="A21" s="15" t="s">
        <v>143</v>
      </c>
      <c r="B21" s="15" t="str">
        <f>VLOOKUP(A:A,Student_Analysis_Ready!A:H,8,FALSE)</f>
        <v>Charlotte Thomas</v>
      </c>
      <c r="C21" s="14">
        <f>VLOOKUP(A21,Student_Analysis_Ready!A:D,4,FALSE)</f>
        <v>5</v>
      </c>
      <c r="D21" s="14" t="str">
        <f>VLOOKUP(A:A,Student_Analysis_Ready!A:F,6,FALSE)</f>
        <v>MTSS Tier 1</v>
      </c>
      <c r="E21" s="14" t="str">
        <f>VLOOKUP(A:A,Student_Analysis_Ready!A:E,5,FALSE)</f>
        <v>Active</v>
      </c>
      <c r="F21" s="14">
        <f>IFERROR(VLOOKUP(A:A,Attendence_Analysis_Ready!A:F,6,FALSE),"0")</f>
        <v>75.3</v>
      </c>
      <c r="G21" s="14" t="str">
        <f>IFERROR(VLOOKUP(A:A,Assessment_Analysis_Ready!A:C,3,FALSE),"Not Available")</f>
        <v>ELA</v>
      </c>
      <c r="H21" s="16">
        <f>IFERROR(VLOOKUP(A:A,Assessment_Analysis_Ready!A:D,4,FALSE),"Not Available")</f>
        <v>46053</v>
      </c>
      <c r="I21" s="14">
        <f>IFERROR(VLOOKUP(A:A,Assessment_Analysis_Ready!A:E,5,FALSE),"Not Available")</f>
        <v>86</v>
      </c>
      <c r="J21" s="14" t="str">
        <f>IFERROR(VLOOKUP(A:A,Assessment_Analysis_Ready!A:F,6,FALSE),"Not Available")</f>
        <v>Met</v>
      </c>
      <c r="K21" s="14">
        <f>IFERROR(VLOOKUP(A:A,Discipline_Analysis_Ready!A:C,3,FALSE),"Not Available")</f>
        <v>0</v>
      </c>
      <c r="L21" s="14">
        <f>IFERROR(VLOOKUP(A:A,Discipline_Analysis_Ready!A:D,4,FALSE),"Not Available")</f>
        <v>0</v>
      </c>
      <c r="M21"/>
      <c r="N21"/>
      <c r="O21"/>
    </row>
    <row r="22" spans="1:15" x14ac:dyDescent="0.25">
      <c r="A22" s="15" t="s">
        <v>144</v>
      </c>
      <c r="B22" s="15" t="str">
        <f>VLOOKUP(A:A,Student_Analysis_Ready!A:H,8,FALSE)</f>
        <v>Charlotte Johnson</v>
      </c>
      <c r="C22" s="14">
        <f>VLOOKUP(A22,Student_Analysis_Ready!A:D,4,FALSE)</f>
        <v>8</v>
      </c>
      <c r="D22" s="14" t="str">
        <f>VLOOKUP(A:A,Student_Analysis_Ready!A:F,6,FALSE)</f>
        <v>Core</v>
      </c>
      <c r="E22" s="14" t="str">
        <f>VLOOKUP(A:A,Student_Analysis_Ready!A:E,5,FALSE)</f>
        <v>Active</v>
      </c>
      <c r="F22" s="14">
        <f>IFERROR(VLOOKUP(A:A,Attendence_Analysis_Ready!A:F,6,FALSE),"0")</f>
        <v>94.6</v>
      </c>
      <c r="G22" s="14" t="str">
        <f>IFERROR(VLOOKUP(A:A,Assessment_Analysis_Ready!A:C,3,FALSE),"Not Available")</f>
        <v>Science</v>
      </c>
      <c r="H22" s="16">
        <f>IFERROR(VLOOKUP(A:A,Assessment_Analysis_Ready!A:D,4,FALSE),"Not Available")</f>
        <v>46079</v>
      </c>
      <c r="I22" s="14">
        <f>IFERROR(VLOOKUP(A:A,Assessment_Analysis_Ready!A:E,5,FALSE),"Not Available")</f>
        <v>89</v>
      </c>
      <c r="J22" s="14" t="str">
        <f>IFERROR(VLOOKUP(A:A,Assessment_Analysis_Ready!A:F,6,FALSE),"Not Available")</f>
        <v>Met</v>
      </c>
      <c r="K22" s="14">
        <f>IFERROR(VLOOKUP(A:A,Discipline_Analysis_Ready!A:C,3,FALSE),"Not Available")</f>
        <v>1</v>
      </c>
      <c r="L22" s="14">
        <f>IFERROR(VLOOKUP(A:A,Discipline_Analysis_Ready!A:D,4,FALSE),"Not Available")</f>
        <v>0</v>
      </c>
      <c r="M22"/>
      <c r="N22"/>
      <c r="O22"/>
    </row>
    <row r="23" spans="1:15" x14ac:dyDescent="0.25">
      <c r="A23" s="15" t="s">
        <v>145</v>
      </c>
      <c r="B23" s="15" t="str">
        <f>VLOOKUP(A:A,Student_Analysis_Ready!A:H,8,FALSE)</f>
        <v>Ella Anderson</v>
      </c>
      <c r="C23" s="14">
        <f>VLOOKUP(A23,Student_Analysis_Ready!A:D,4,FALSE)</f>
        <v>6</v>
      </c>
      <c r="D23" s="14" t="str">
        <f>VLOOKUP(A:A,Student_Analysis_Ready!A:F,6,FALSE)</f>
        <v>MTSS Tier 3</v>
      </c>
      <c r="E23" s="14" t="str">
        <f>VLOOKUP(A:A,Student_Analysis_Ready!A:E,5,FALSE)</f>
        <v>Active</v>
      </c>
      <c r="F23" s="14">
        <f>IFERROR(VLOOKUP(A:A,Attendence_Analysis_Ready!A:F,6,FALSE),"0")</f>
        <v>99.3</v>
      </c>
      <c r="G23" s="14" t="str">
        <f>IFERROR(VLOOKUP(A:A,Assessment_Analysis_Ready!A:C,3,FALSE),"Not Available")</f>
        <v>Science</v>
      </c>
      <c r="H23" s="16">
        <f>IFERROR(VLOOKUP(A:A,Assessment_Analysis_Ready!A:D,4,FALSE),"Not Available")</f>
        <v>46095</v>
      </c>
      <c r="I23" s="14">
        <f>IFERROR(VLOOKUP(A:A,Assessment_Analysis_Ready!A:E,5,FALSE),"Not Available")</f>
        <v>60</v>
      </c>
      <c r="J23" s="14" t="str">
        <f>IFERROR(VLOOKUP(A:A,Assessment_Analysis_Ready!A:F,6,FALSE),"Not Available")</f>
        <v>Below</v>
      </c>
      <c r="K23" s="14">
        <f>IFERROR(VLOOKUP(A:A,Discipline_Analysis_Ready!A:C,3,FALSE),"Not Available")</f>
        <v>4</v>
      </c>
      <c r="L23" s="14">
        <f>IFERROR(VLOOKUP(A:A,Discipline_Analysis_Ready!A:D,4,FALSE),"Not Available")</f>
        <v>2</v>
      </c>
      <c r="M23"/>
      <c r="N23"/>
      <c r="O23"/>
    </row>
    <row r="24" spans="1:15" x14ac:dyDescent="0.25">
      <c r="A24" s="15" t="s">
        <v>147</v>
      </c>
      <c r="B24" s="15" t="str">
        <f>VLOOKUP(A:A,Student_Analysis_Ready!A:H,8,FALSE)</f>
        <v>James Taylor</v>
      </c>
      <c r="C24" s="14">
        <f>VLOOKUP(A24,Student_Analysis_Ready!A:D,4,FALSE)</f>
        <v>8</v>
      </c>
      <c r="D24" s="14" t="str">
        <f>VLOOKUP(A:A,Student_Analysis_Ready!A:F,6,FALSE)</f>
        <v>MTSS tier 2</v>
      </c>
      <c r="E24" s="14" t="str">
        <f>VLOOKUP(A:A,Student_Analysis_Ready!A:E,5,FALSE)</f>
        <v>Active</v>
      </c>
      <c r="F24" s="14">
        <f>IFERROR(VLOOKUP(A:A,Attendence_Analysis_Ready!A:F,6,FALSE),"0")</f>
        <v>83.3</v>
      </c>
      <c r="G24" s="14" t="str">
        <f>IFERROR(VLOOKUP(A:A,Assessment_Analysis_Ready!A:C,3,FALSE),"Not Available")</f>
        <v>Science</v>
      </c>
      <c r="H24" s="16">
        <f>IFERROR(VLOOKUP(A:A,Assessment_Analysis_Ready!A:D,4,FALSE),"Not Available")</f>
        <v>46087</v>
      </c>
      <c r="I24" s="14">
        <f>IFERROR(VLOOKUP(A:A,Assessment_Analysis_Ready!A:E,5,FALSE),"Not Available")</f>
        <v>70</v>
      </c>
      <c r="J24" s="14" t="str">
        <f>IFERROR(VLOOKUP(A:A,Assessment_Analysis_Ready!A:F,6,FALSE),"Not Available")</f>
        <v>Met</v>
      </c>
      <c r="K24" s="14">
        <f>IFERROR(VLOOKUP(A:A,Discipline_Analysis_Ready!A:C,3,FALSE),"Not Available")</f>
        <v>2</v>
      </c>
      <c r="L24" s="14">
        <f>IFERROR(VLOOKUP(A:A,Discipline_Analysis_Ready!A:D,4,FALSE),"Not Available")</f>
        <v>0</v>
      </c>
      <c r="M24"/>
      <c r="N24"/>
      <c r="O24"/>
    </row>
    <row r="25" spans="1:15" x14ac:dyDescent="0.25">
      <c r="A25" s="15" t="s">
        <v>149</v>
      </c>
      <c r="B25" s="15" t="str">
        <f>VLOOKUP(A:A,Student_Analysis_Ready!A:H,8,FALSE)</f>
        <v>Daniel Wilson</v>
      </c>
      <c r="C25" s="14">
        <f>VLOOKUP(A25,Student_Analysis_Ready!A:D,4,FALSE)</f>
        <v>5</v>
      </c>
      <c r="D25" s="14" t="str">
        <f>VLOOKUP(A:A,Student_Analysis_Ready!A:F,6,FALSE)</f>
        <v>Core</v>
      </c>
      <c r="E25" s="14" t="str">
        <f>VLOOKUP(A:A,Student_Analysis_Ready!A:E,5,FALSE)</f>
        <v>Active</v>
      </c>
      <c r="F25" s="14">
        <f>IFERROR(VLOOKUP(A:A,Attendence_Analysis_Ready!A:F,6,FALSE),"0")</f>
        <v>93.6</v>
      </c>
      <c r="G25" s="14" t="str">
        <f>IFERROR(VLOOKUP(A:A,Assessment_Analysis_Ready!A:C,3,FALSE),"Not Available")</f>
        <v>ELA</v>
      </c>
      <c r="H25" s="16">
        <f>IFERROR(VLOOKUP(A:A,Assessment_Analysis_Ready!A:D,4,FALSE),"Not Available")</f>
        <v>46090</v>
      </c>
      <c r="I25" s="14">
        <f>IFERROR(VLOOKUP(A:A,Assessment_Analysis_Ready!A:E,5,FALSE),"Not Available")</f>
        <v>64</v>
      </c>
      <c r="J25" s="14" t="str">
        <f>IFERROR(VLOOKUP(A:A,Assessment_Analysis_Ready!A:F,6,FALSE),"Not Available")</f>
        <v>Below</v>
      </c>
      <c r="K25" s="14">
        <f>IFERROR(VLOOKUP(A:A,Discipline_Analysis_Ready!A:C,3,FALSE),"Not Available")</f>
        <v>0</v>
      </c>
      <c r="L25" s="14">
        <f>IFERROR(VLOOKUP(A:A,Discipline_Analysis_Ready!A:D,4,FALSE),"Not Available")</f>
        <v>0</v>
      </c>
      <c r="M25"/>
      <c r="N25"/>
      <c r="O25"/>
    </row>
    <row r="26" spans="1:15" x14ac:dyDescent="0.25">
      <c r="A26" s="15" t="s">
        <v>150</v>
      </c>
      <c r="B26" s="15" t="str">
        <f>VLOOKUP(A:A,Student_Analysis_Ready!A:H,8,FALSE)</f>
        <v>Mia Thomas</v>
      </c>
      <c r="C26" s="14">
        <f>VLOOKUP(A26,Student_Analysis_Ready!A:D,4,FALSE)</f>
        <v>5</v>
      </c>
      <c r="D26" s="14" t="str">
        <f>VLOOKUP(A:A,Student_Analysis_Ready!A:F,6,FALSE)</f>
        <v>MTSS Tier 3</v>
      </c>
      <c r="E26" s="14" t="str">
        <f>VLOOKUP(A:A,Student_Analysis_Ready!A:E,5,FALSE)</f>
        <v>Active</v>
      </c>
      <c r="F26" s="14">
        <f>IFERROR(VLOOKUP(A:A,Attendence_Analysis_Ready!A:F,6,FALSE),"0")</f>
        <v>98.1</v>
      </c>
      <c r="G26" s="14" t="str">
        <f>IFERROR(VLOOKUP(A:A,Assessment_Analysis_Ready!A:C,3,FALSE),"Not Available")</f>
        <v>Science</v>
      </c>
      <c r="H26" s="16">
        <f>IFERROR(VLOOKUP(A:A,Assessment_Analysis_Ready!A:D,4,FALSE),"Not Available")</f>
        <v>46060</v>
      </c>
      <c r="I26" s="14">
        <f>IFERROR(VLOOKUP(A:A,Assessment_Analysis_Ready!A:E,5,FALSE),"Not Available")</f>
        <v>98</v>
      </c>
      <c r="J26" s="14" t="str">
        <f>IFERROR(VLOOKUP(A:A,Assessment_Analysis_Ready!A:F,6,FALSE),"Not Available")</f>
        <v>Met</v>
      </c>
      <c r="K26" s="14">
        <f>IFERROR(VLOOKUP(A:A,Discipline_Analysis_Ready!A:C,3,FALSE),"Not Available")</f>
        <v>1</v>
      </c>
      <c r="L26" s="14">
        <f>IFERROR(VLOOKUP(A:A,Discipline_Analysis_Ready!A:D,4,FALSE),"Not Available")</f>
        <v>0</v>
      </c>
      <c r="M26"/>
      <c r="N26"/>
      <c r="O26"/>
    </row>
    <row r="27" spans="1:15" x14ac:dyDescent="0.25">
      <c r="A27" s="15" t="s">
        <v>151</v>
      </c>
      <c r="B27" s="15" t="str">
        <f>VLOOKUP(A:A,Student_Analysis_Ready!A:H,8,FALSE)</f>
        <v>Emma Miller</v>
      </c>
      <c r="C27" s="14">
        <f>VLOOKUP(A27,Student_Analysis_Ready!A:D,4,FALSE)</f>
        <v>8</v>
      </c>
      <c r="D27" s="14" t="str">
        <f>VLOOKUP(A:A,Student_Analysis_Ready!A:F,6,FALSE)</f>
        <v>Core</v>
      </c>
      <c r="E27" s="14" t="str">
        <f>VLOOKUP(A:A,Student_Analysis_Ready!A:E,5,FALSE)</f>
        <v>Active</v>
      </c>
      <c r="F27" s="14">
        <f>IFERROR(VLOOKUP(A:A,Attendence_Analysis_Ready!A:F,6,FALSE),"0")</f>
        <v>87.9</v>
      </c>
      <c r="G27" s="14" t="str">
        <f>IFERROR(VLOOKUP(A:A,Assessment_Analysis_Ready!A:C,3,FALSE),"Not Available")</f>
        <v>Science</v>
      </c>
      <c r="H27" s="16">
        <f>IFERROR(VLOOKUP(A:A,Assessment_Analysis_Ready!A:D,4,FALSE),"Not Available")</f>
        <v>46061</v>
      </c>
      <c r="I27" s="14">
        <f>IFERROR(VLOOKUP(A:A,Assessment_Analysis_Ready!A:E,5,FALSE),"Not Available")</f>
        <v>89</v>
      </c>
      <c r="J27" s="14" t="str">
        <f>IFERROR(VLOOKUP(A:A,Assessment_Analysis_Ready!A:F,6,FALSE),"Not Available")</f>
        <v>Met</v>
      </c>
      <c r="K27" s="14">
        <f>IFERROR(VLOOKUP(A:A,Discipline_Analysis_Ready!A:C,3,FALSE),"Not Available")</f>
        <v>3</v>
      </c>
      <c r="L27" s="14">
        <f>IFERROR(VLOOKUP(A:A,Discipline_Analysis_Ready!A:D,4,FALSE),"Not Available")</f>
        <v>0</v>
      </c>
      <c r="M27"/>
      <c r="N27"/>
      <c r="O27"/>
    </row>
    <row r="28" spans="1:15" x14ac:dyDescent="0.25">
      <c r="A28" s="15" t="s">
        <v>153</v>
      </c>
      <c r="B28" s="15" t="str">
        <f>VLOOKUP(A:A,Student_Analysis_Ready!A:H,8,FALSE)</f>
        <v>Ella Wilson</v>
      </c>
      <c r="C28" s="14">
        <f>VLOOKUP(A28,Student_Analysis_Ready!A:D,4,FALSE)</f>
        <v>7</v>
      </c>
      <c r="D28" s="14" t="str">
        <f>VLOOKUP(A:A,Student_Analysis_Ready!A:F,6,FALSE)</f>
        <v>Core</v>
      </c>
      <c r="E28" s="14" t="str">
        <f>VLOOKUP(A:A,Student_Analysis_Ready!A:E,5,FALSE)</f>
        <v>Active</v>
      </c>
      <c r="F28" s="14">
        <f>IFERROR(VLOOKUP(A:A,Attendence_Analysis_Ready!A:F,6,FALSE),"0")</f>
        <v>95.9</v>
      </c>
      <c r="G28" s="14" t="str">
        <f>IFERROR(VLOOKUP(A:A,Assessment_Analysis_Ready!A:C,3,FALSE),"Not Available")</f>
        <v>Math</v>
      </c>
      <c r="H28" s="16">
        <f>IFERROR(VLOOKUP(A:A,Assessment_Analysis_Ready!A:D,4,FALSE),"Not Available")</f>
        <v>46107</v>
      </c>
      <c r="I28" s="14">
        <f>IFERROR(VLOOKUP(A:A,Assessment_Analysis_Ready!A:E,5,FALSE),"Not Available")</f>
        <v>90</v>
      </c>
      <c r="J28" s="14" t="str">
        <f>IFERROR(VLOOKUP(A:A,Assessment_Analysis_Ready!A:F,6,FALSE),"Not Available")</f>
        <v>met</v>
      </c>
      <c r="K28" s="14">
        <f>IFERROR(VLOOKUP(A:A,Discipline_Analysis_Ready!A:C,3,FALSE),"Not Available")</f>
        <v>1</v>
      </c>
      <c r="L28" s="14">
        <f>IFERROR(VLOOKUP(A:A,Discipline_Analysis_Ready!A:D,4,FALSE),"Not Available")</f>
        <v>0</v>
      </c>
      <c r="M28"/>
      <c r="N28"/>
      <c r="O28"/>
    </row>
    <row r="29" spans="1:15" x14ac:dyDescent="0.25">
      <c r="A29" s="15" t="s">
        <v>154</v>
      </c>
      <c r="B29" s="15" t="str">
        <f>VLOOKUP(A:A,Student_Analysis_Ready!A:H,8,FALSE)</f>
        <v>Olivia Brown</v>
      </c>
      <c r="C29" s="14">
        <f>VLOOKUP(A29,Student_Analysis_Ready!A:D,4,FALSE)</f>
        <v>7</v>
      </c>
      <c r="D29" s="14" t="str">
        <f>VLOOKUP(A:A,Student_Analysis_Ready!A:F,6,FALSE)</f>
        <v>MTSS Tier 1</v>
      </c>
      <c r="E29" s="14" t="str">
        <f>VLOOKUP(A:A,Student_Analysis_Ready!A:E,5,FALSE)</f>
        <v>Active</v>
      </c>
      <c r="F29" s="14" t="str">
        <f>IFERROR(VLOOKUP(A:A,Attendence_Analysis_Ready!A:F,6,FALSE),"0")</f>
        <v>0</v>
      </c>
      <c r="G29" s="14" t="str">
        <f>IFERROR(VLOOKUP(A:A,Assessment_Analysis_Ready!A:C,3,FALSE),"Not Available")</f>
        <v>Math</v>
      </c>
      <c r="H29" s="16">
        <f>IFERROR(VLOOKUP(A:A,Assessment_Analysis_Ready!A:D,4,FALSE),"Not Available")</f>
        <v>46088</v>
      </c>
      <c r="I29" s="14">
        <f>IFERROR(VLOOKUP(A:A,Assessment_Analysis_Ready!A:E,5,FALSE),"Not Available")</f>
        <v>77</v>
      </c>
      <c r="J29" s="14" t="str">
        <f>IFERROR(VLOOKUP(A:A,Assessment_Analysis_Ready!A:F,6,FALSE),"Not Available")</f>
        <v>Met</v>
      </c>
      <c r="K29" s="14">
        <f>IFERROR(VLOOKUP(A:A,Discipline_Analysis_Ready!A:C,3,FALSE),"Not Available")</f>
        <v>3</v>
      </c>
      <c r="L29" s="14">
        <f>IFERROR(VLOOKUP(A:A,Discipline_Analysis_Ready!A:D,4,FALSE),"Not Available")</f>
        <v>1</v>
      </c>
      <c r="M29"/>
      <c r="N29"/>
      <c r="O29"/>
    </row>
    <row r="30" spans="1:15" x14ac:dyDescent="0.25">
      <c r="A30" s="15" t="s">
        <v>155</v>
      </c>
      <c r="B30" s="15" t="str">
        <f>VLOOKUP(A:A,Student_Analysis_Ready!A:H,8,FALSE)</f>
        <v>Sophia Brown</v>
      </c>
      <c r="C30" s="14">
        <f>VLOOKUP(A30,Student_Analysis_Ready!A:D,4,FALSE)</f>
        <v>5</v>
      </c>
      <c r="D30" s="14" t="str">
        <f>VLOOKUP(A:A,Student_Analysis_Ready!A:F,6,FALSE)</f>
        <v>MTSS Tier 1</v>
      </c>
      <c r="E30" s="14" t="str">
        <f>VLOOKUP(A:A,Student_Analysis_Ready!A:E,5,FALSE)</f>
        <v>Active</v>
      </c>
      <c r="F30" s="14">
        <f>IFERROR(VLOOKUP(A:A,Attendence_Analysis_Ready!A:F,6,FALSE),"0")</f>
        <v>89.3</v>
      </c>
      <c r="G30" s="14" t="str">
        <f>IFERROR(VLOOKUP(A:A,Assessment_Analysis_Ready!A:C,3,FALSE),"Not Available")</f>
        <v>ELA</v>
      </c>
      <c r="H30" s="16">
        <f>IFERROR(VLOOKUP(A:A,Assessment_Analysis_Ready!A:D,4,FALSE),"Not Available")</f>
        <v>46106</v>
      </c>
      <c r="I30" s="14">
        <f>IFERROR(VLOOKUP(A:A,Assessment_Analysis_Ready!A:E,5,FALSE),"Not Available")</f>
        <v>92</v>
      </c>
      <c r="J30" s="14" t="str">
        <f>IFERROR(VLOOKUP(A:A,Assessment_Analysis_Ready!A:F,6,FALSE),"Not Available")</f>
        <v>Met</v>
      </c>
      <c r="K30" s="14">
        <f>IFERROR(VLOOKUP(A:A,Discipline_Analysis_Ready!A:C,3,FALSE),"Not Available")</f>
        <v>0</v>
      </c>
      <c r="L30" s="14">
        <f>IFERROR(VLOOKUP(A:A,Discipline_Analysis_Ready!A:D,4,FALSE),"Not Available")</f>
        <v>0</v>
      </c>
      <c r="M30"/>
      <c r="N30"/>
      <c r="O30"/>
    </row>
    <row r="31" spans="1:15" x14ac:dyDescent="0.25">
      <c r="A31" s="15" t="s">
        <v>157</v>
      </c>
      <c r="B31" s="15" t="str">
        <f>VLOOKUP(A:A,Student_Analysis_Ready!A:H,8,FALSE)</f>
        <v>Olivia Miller</v>
      </c>
      <c r="C31" s="14">
        <f>VLOOKUP(A31,Student_Analysis_Ready!A:D,4,FALSE)</f>
        <v>5</v>
      </c>
      <c r="D31" s="14" t="str">
        <f>VLOOKUP(A:A,Student_Analysis_Ready!A:F,6,FALSE)</f>
        <v>MTSS Tier 1</v>
      </c>
      <c r="E31" s="14" t="str">
        <f>VLOOKUP(A:A,Student_Analysis_Ready!A:E,5,FALSE)</f>
        <v>Active</v>
      </c>
      <c r="F31" s="14">
        <f>IFERROR(VLOOKUP(A:A,Attendence_Analysis_Ready!A:F,6,FALSE),"0")</f>
        <v>83.6</v>
      </c>
      <c r="G31" s="14" t="str">
        <f>IFERROR(VLOOKUP(A:A,Assessment_Analysis_Ready!A:C,3,FALSE),"Not Available")</f>
        <v>Science</v>
      </c>
      <c r="H31" s="16">
        <f>IFERROR(VLOOKUP(A:A,Assessment_Analysis_Ready!A:D,4,FALSE),"Not Available")</f>
        <v>46124</v>
      </c>
      <c r="I31" s="14">
        <f>IFERROR(VLOOKUP(A:A,Assessment_Analysis_Ready!A:E,5,FALSE),"Not Available")</f>
        <v>76</v>
      </c>
      <c r="J31" s="14" t="str">
        <f>IFERROR(VLOOKUP(A:A,Assessment_Analysis_Ready!A:F,6,FALSE),"Not Available")</f>
        <v>Met</v>
      </c>
      <c r="K31" s="14">
        <f>IFERROR(VLOOKUP(A:A,Discipline_Analysis_Ready!A:C,3,FALSE),"Not Available")</f>
        <v>1</v>
      </c>
      <c r="L31" s="14">
        <f>IFERROR(VLOOKUP(A:A,Discipline_Analysis_Ready!A:D,4,FALSE),"Not Available")</f>
        <v>0</v>
      </c>
      <c r="M31"/>
      <c r="N31"/>
      <c r="O31"/>
    </row>
    <row r="32" spans="1:15" x14ac:dyDescent="0.25">
      <c r="A32" s="15" t="s">
        <v>158</v>
      </c>
      <c r="B32" s="15" t="str">
        <f>VLOOKUP(A:A,Student_Analysis_Ready!A:H,8,FALSE)</f>
        <v>Jack Anderson</v>
      </c>
      <c r="C32" s="14">
        <f>VLOOKUP(A32,Student_Analysis_Ready!A:D,4,FALSE)</f>
        <v>7</v>
      </c>
      <c r="D32" s="14" t="str">
        <f>VLOOKUP(A:A,Student_Analysis_Ready!A:F,6,FALSE)</f>
        <v>Core</v>
      </c>
      <c r="E32" s="14" t="str">
        <f>VLOOKUP(A:A,Student_Analysis_Ready!A:E,5,FALSE)</f>
        <v>Active</v>
      </c>
      <c r="F32" s="14">
        <f>IFERROR(VLOOKUP(A:A,Attendence_Analysis_Ready!A:F,6,FALSE),"0")</f>
        <v>95.4</v>
      </c>
      <c r="G32" s="14" t="str">
        <f>IFERROR(VLOOKUP(A:A,Assessment_Analysis_Ready!A:C,3,FALSE),"Not Available")</f>
        <v>Science</v>
      </c>
      <c r="H32" s="16">
        <f>IFERROR(VLOOKUP(A:A,Assessment_Analysis_Ready!A:D,4,FALSE),"Not Available")</f>
        <v>46069</v>
      </c>
      <c r="I32" s="14">
        <f>IFERROR(VLOOKUP(A:A,Assessment_Analysis_Ready!A:E,5,FALSE),"Not Available")</f>
        <v>92</v>
      </c>
      <c r="J32" s="14" t="str">
        <f>IFERROR(VLOOKUP(A:A,Assessment_Analysis_Ready!A:F,6,FALSE),"Not Available")</f>
        <v>Met</v>
      </c>
      <c r="K32" s="14">
        <f>IFERROR(VLOOKUP(A:A,Discipline_Analysis_Ready!A:C,3,FALSE),"Not Available")</f>
        <v>1</v>
      </c>
      <c r="L32" s="14">
        <f>IFERROR(VLOOKUP(A:A,Discipline_Analysis_Ready!A:D,4,FALSE),"Not Available")</f>
        <v>0</v>
      </c>
      <c r="M32"/>
      <c r="N32"/>
      <c r="O32"/>
    </row>
    <row r="33" spans="1:15" x14ac:dyDescent="0.25">
      <c r="A33" s="15" t="s">
        <v>160</v>
      </c>
      <c r="B33" s="15" t="str">
        <f>VLOOKUP(A:A,Student_Analysis_Ready!A:H,8,FALSE)</f>
        <v>Noah Miller</v>
      </c>
      <c r="C33" s="14">
        <f>VLOOKUP(A33,Student_Analysis_Ready!A:D,4,FALSE)</f>
        <v>7</v>
      </c>
      <c r="D33" s="14" t="str">
        <f>VLOOKUP(A:A,Student_Analysis_Ready!A:F,6,FALSE)</f>
        <v>Core</v>
      </c>
      <c r="E33" s="14" t="str">
        <f>VLOOKUP(A:A,Student_Analysis_Ready!A:E,5,FALSE)</f>
        <v>Active</v>
      </c>
      <c r="F33" s="14">
        <f>IFERROR(VLOOKUP(A:A,Attendence_Analysis_Ready!A:F,6,FALSE),"0")</f>
        <v>83.6</v>
      </c>
      <c r="G33" s="14" t="str">
        <f>IFERROR(VLOOKUP(A:A,Assessment_Analysis_Ready!A:C,3,FALSE),"Not Available")</f>
        <v>Math</v>
      </c>
      <c r="H33" s="16">
        <f>IFERROR(VLOOKUP(A:A,Assessment_Analysis_Ready!A:D,4,FALSE),"Not Available")</f>
        <v>46085</v>
      </c>
      <c r="I33" s="14">
        <f>IFERROR(VLOOKUP(A:A,Assessment_Analysis_Ready!A:E,5,FALSE),"Not Available")</f>
        <v>74</v>
      </c>
      <c r="J33" s="14" t="str">
        <f>IFERROR(VLOOKUP(A:A,Assessment_Analysis_Ready!A:F,6,FALSE),"Not Available")</f>
        <v>Met</v>
      </c>
      <c r="K33" s="14">
        <f>IFERROR(VLOOKUP(A:A,Discipline_Analysis_Ready!A:C,3,FALSE),"Not Available")</f>
        <v>2</v>
      </c>
      <c r="L33" s="14">
        <f>IFERROR(VLOOKUP(A:A,Discipline_Analysis_Ready!A:D,4,FALSE),"Not Available")</f>
        <v>0</v>
      </c>
      <c r="M33"/>
      <c r="N33"/>
      <c r="O33"/>
    </row>
    <row r="34" spans="1:15" x14ac:dyDescent="0.25">
      <c r="A34" s="15" t="s">
        <v>161</v>
      </c>
      <c r="B34" s="15" t="str">
        <f>VLOOKUP(A:A,Student_Analysis_Ready!A:H,8,FALSE)</f>
        <v>Henry Johnson</v>
      </c>
      <c r="C34" s="14">
        <f>VLOOKUP(A34,Student_Analysis_Ready!A:D,4,FALSE)</f>
        <v>8</v>
      </c>
      <c r="D34" s="14" t="str">
        <f>VLOOKUP(A:A,Student_Analysis_Ready!A:F,6,FALSE)</f>
        <v>MTSS Tier 1</v>
      </c>
      <c r="E34" s="14" t="str">
        <f>VLOOKUP(A:A,Student_Analysis_Ready!A:E,5,FALSE)</f>
        <v>Active</v>
      </c>
      <c r="F34" s="14">
        <f>IFERROR(VLOOKUP(A:A,Attendence_Analysis_Ready!A:F,6,FALSE),"0")</f>
        <v>98.9</v>
      </c>
      <c r="G34" s="14" t="str">
        <f>IFERROR(VLOOKUP(A:A,Assessment_Analysis_Ready!A:C,3,FALSE),"Not Available")</f>
        <v>ELA</v>
      </c>
      <c r="H34" s="16">
        <f>IFERROR(VLOOKUP(A:A,Assessment_Analysis_Ready!A:D,4,FALSE),"Not Available")</f>
        <v>46065</v>
      </c>
      <c r="I34" s="14">
        <f>IFERROR(VLOOKUP(A:A,Assessment_Analysis_Ready!A:E,5,FALSE),"Not Available")</f>
        <v>68</v>
      </c>
      <c r="J34" s="14" t="str">
        <f>IFERROR(VLOOKUP(A:A,Assessment_Analysis_Ready!A:F,6,FALSE),"Not Available")</f>
        <v>Below</v>
      </c>
      <c r="K34" s="14">
        <f>IFERROR(VLOOKUP(A:A,Discipline_Analysis_Ready!A:C,3,FALSE),"Not Available")</f>
        <v>0</v>
      </c>
      <c r="L34" s="14">
        <f>IFERROR(VLOOKUP(A:A,Discipline_Analysis_Ready!A:D,4,FALSE),"Not Available")</f>
        <v>0</v>
      </c>
    </row>
    <row r="35" spans="1:15" x14ac:dyDescent="0.25">
      <c r="A35" s="15" t="s">
        <v>163</v>
      </c>
      <c r="B35" s="15" t="str">
        <f>VLOOKUP(A:A,Student_Analysis_Ready!A:H,8,FALSE)</f>
        <v>Jack Miller</v>
      </c>
      <c r="C35" s="14">
        <f>VLOOKUP(A35,Student_Analysis_Ready!A:D,4,FALSE)</f>
        <v>8</v>
      </c>
      <c r="D35" s="14" t="str">
        <f>VLOOKUP(A:A,Student_Analysis_Ready!A:F,6,FALSE)</f>
        <v>MTSS Tier 2</v>
      </c>
      <c r="E35" s="14" t="str">
        <f>VLOOKUP(A:A,Student_Analysis_Ready!A:E,5,FALSE)</f>
        <v>Active</v>
      </c>
      <c r="F35" s="14">
        <f>IFERROR(VLOOKUP(A:A,Attendence_Analysis_Ready!A:F,6,FALSE),"0")</f>
        <v>91.8</v>
      </c>
      <c r="G35" s="14" t="str">
        <f>IFERROR(VLOOKUP(A:A,Assessment_Analysis_Ready!A:C,3,FALSE),"Not Available")</f>
        <v>Math</v>
      </c>
      <c r="H35" s="16">
        <f>IFERROR(VLOOKUP(A:A,Assessment_Analysis_Ready!A:D,4,FALSE),"Not Available")</f>
        <v>46099</v>
      </c>
      <c r="I35" s="14">
        <f>IFERROR(VLOOKUP(A:A,Assessment_Analysis_Ready!A:E,5,FALSE),"Not Available")</f>
        <v>98</v>
      </c>
      <c r="J35" s="14" t="str">
        <f>IFERROR(VLOOKUP(A:A,Assessment_Analysis_Ready!A:F,6,FALSE),"Not Available")</f>
        <v>Met</v>
      </c>
      <c r="K35" s="14">
        <f>IFERROR(VLOOKUP(A:A,Discipline_Analysis_Ready!A:C,3,FALSE),"Not Available")</f>
        <v>0</v>
      </c>
      <c r="L35" s="14">
        <f>IFERROR(VLOOKUP(A:A,Discipline_Analysis_Ready!A:D,4,FALSE),"Not Available")</f>
        <v>0</v>
      </c>
    </row>
    <row r="36" spans="1:15" x14ac:dyDescent="0.25">
      <c r="A36" s="15" t="s">
        <v>164</v>
      </c>
      <c r="B36" s="15" t="str">
        <f>VLOOKUP(A:A,Student_Analysis_Ready!A:H,8,FALSE)</f>
        <v>Sophia Garcia</v>
      </c>
      <c r="C36" s="14">
        <f>VLOOKUP(A36,Student_Analysis_Ready!A:D,4,FALSE)</f>
        <v>7</v>
      </c>
      <c r="D36" s="14" t="str">
        <f>VLOOKUP(A:A,Student_Analysis_Ready!A:F,6,FALSE)</f>
        <v>MTSS Tier 1</v>
      </c>
      <c r="E36" s="14" t="str">
        <f>VLOOKUP(A:A,Student_Analysis_Ready!A:E,5,FALSE)</f>
        <v>Active</v>
      </c>
      <c r="F36" s="14">
        <f>IFERROR(VLOOKUP(A:A,Attendence_Analysis_Ready!A:F,6,FALSE),"0")</f>
        <v>92.4</v>
      </c>
      <c r="G36" s="14" t="str">
        <f>IFERROR(VLOOKUP(A:A,Assessment_Analysis_Ready!A:C,3,FALSE),"Not Available")</f>
        <v>Math</v>
      </c>
      <c r="H36" s="16">
        <f>IFERROR(VLOOKUP(A:A,Assessment_Analysis_Ready!A:D,4,FALSE),"Not Available")</f>
        <v>46058</v>
      </c>
      <c r="I36" s="14">
        <f>IFERROR(VLOOKUP(A:A,Assessment_Analysis_Ready!A:E,5,FALSE),"Not Available")</f>
        <v>76</v>
      </c>
      <c r="J36" s="14" t="str">
        <f>IFERROR(VLOOKUP(A:A,Assessment_Analysis_Ready!A:F,6,FALSE),"Not Available")</f>
        <v>Met</v>
      </c>
      <c r="K36" s="14">
        <f>IFERROR(VLOOKUP(A:A,Discipline_Analysis_Ready!A:C,3,FALSE),"Not Available")</f>
        <v>0</v>
      </c>
      <c r="L36" s="14">
        <f>IFERROR(VLOOKUP(A:A,Discipline_Analysis_Ready!A:D,4,FALSE),"Not Available")</f>
        <v>0</v>
      </c>
    </row>
    <row r="37" spans="1:15" x14ac:dyDescent="0.25">
      <c r="A37" s="15" t="s">
        <v>165</v>
      </c>
      <c r="B37" s="15" t="str">
        <f>VLOOKUP(A:A,Student_Analysis_Ready!A:H,8,FALSE)</f>
        <v>Liam Wilson</v>
      </c>
      <c r="C37" s="14">
        <f>VLOOKUP(A37,Student_Analysis_Ready!A:D,4,FALSE)</f>
        <v>8</v>
      </c>
      <c r="D37" s="14" t="str">
        <f>VLOOKUP(A:A,Student_Analysis_Ready!A:F,6,FALSE)</f>
        <v>Core</v>
      </c>
      <c r="E37" s="14" t="str">
        <f>VLOOKUP(A:A,Student_Analysis_Ready!A:E,5,FALSE)</f>
        <v>Active</v>
      </c>
      <c r="F37" s="14">
        <f>IFERROR(VLOOKUP(A:A,Attendence_Analysis_Ready!A:F,6,FALSE),"0")</f>
        <v>95.3</v>
      </c>
      <c r="G37" s="14" t="str">
        <f>IFERROR(VLOOKUP(A:A,Assessment_Analysis_Ready!A:C,3,FALSE),"Not Available")</f>
        <v>Math</v>
      </c>
      <c r="H37" s="16">
        <f>IFERROR(VLOOKUP(A:A,Assessment_Analysis_Ready!A:D,4,FALSE),"Not Available")</f>
        <v>46062</v>
      </c>
      <c r="I37" s="14">
        <f>IFERROR(VLOOKUP(A:A,Assessment_Analysis_Ready!A:E,5,FALSE),"Not Available")</f>
        <v>65</v>
      </c>
      <c r="J37" s="14" t="str">
        <f>IFERROR(VLOOKUP(A:A,Assessment_Analysis_Ready!A:F,6,FALSE),"Not Available")</f>
        <v>Below</v>
      </c>
      <c r="K37" s="14">
        <f>IFERROR(VLOOKUP(A:A,Discipline_Analysis_Ready!A:C,3,FALSE),"Not Available")</f>
        <v>1</v>
      </c>
      <c r="L37" s="14">
        <f>IFERROR(VLOOKUP(A:A,Discipline_Analysis_Ready!A:D,4,FALSE),"Not Available")</f>
        <v>1</v>
      </c>
    </row>
    <row r="38" spans="1:15" x14ac:dyDescent="0.25">
      <c r="A38" s="15" t="s">
        <v>166</v>
      </c>
      <c r="B38" s="15" t="str">
        <f>VLOOKUP(A:A,Student_Analysis_Ready!A:H,8,FALSE)</f>
        <v>Daniel Patel</v>
      </c>
      <c r="C38" s="14">
        <f>VLOOKUP(A38,Student_Analysis_Ready!A:D,4,FALSE)</f>
        <v>8</v>
      </c>
      <c r="D38" s="14" t="str">
        <f>VLOOKUP(A:A,Student_Analysis_Ready!A:F,6,FALSE)</f>
        <v>MTSS Tier 1</v>
      </c>
      <c r="E38" s="14" t="str">
        <f>VLOOKUP(A:A,Student_Analysis_Ready!A:E,5,FALSE)</f>
        <v>Active</v>
      </c>
      <c r="F38" s="14">
        <f>IFERROR(VLOOKUP(A:A,Attendence_Analysis_Ready!A:F,6,FALSE),"0")</f>
        <v>83.8</v>
      </c>
      <c r="G38" s="14" t="str">
        <f>IFERROR(VLOOKUP(A:A,Assessment_Analysis_Ready!A:C,3,FALSE),"Not Available")</f>
        <v>Math</v>
      </c>
      <c r="H38" s="16">
        <f>IFERROR(VLOOKUP(A:A,Assessment_Analysis_Ready!A:D,4,FALSE),"Not Available")</f>
        <v>46064</v>
      </c>
      <c r="I38" s="14">
        <f>IFERROR(VLOOKUP(A:A,Assessment_Analysis_Ready!A:E,5,FALSE),"Not Available")</f>
        <v>65</v>
      </c>
      <c r="J38" s="14" t="str">
        <f>IFERROR(VLOOKUP(A:A,Assessment_Analysis_Ready!A:F,6,FALSE),"Not Available")</f>
        <v>Below</v>
      </c>
      <c r="K38" s="14">
        <f>IFERROR(VLOOKUP(A:A,Discipline_Analysis_Ready!A:C,3,FALSE),"Not Available")</f>
        <v>2</v>
      </c>
      <c r="L38" s="14">
        <f>IFERROR(VLOOKUP(A:A,Discipline_Analysis_Ready!A:D,4,FALSE),"Not Available")</f>
        <v>0</v>
      </c>
    </row>
    <row r="39" spans="1:15" x14ac:dyDescent="0.25">
      <c r="A39" s="15" t="s">
        <v>167</v>
      </c>
      <c r="B39" s="15" t="str">
        <f>VLOOKUP(A:A,Student_Analysis_Ready!A:H,8,FALSE)</f>
        <v>Charlotte Davis</v>
      </c>
      <c r="C39" s="14">
        <f>VLOOKUP(A39,Student_Analysis_Ready!A:D,4,FALSE)</f>
        <v>6</v>
      </c>
      <c r="D39" s="14" t="str">
        <f>VLOOKUP(A:A,Student_Analysis_Ready!A:F,6,FALSE)</f>
        <v>MTSS Tier 1</v>
      </c>
      <c r="E39" s="14" t="str">
        <f>VLOOKUP(A:A,Student_Analysis_Ready!A:E,5,FALSE)</f>
        <v>Active</v>
      </c>
      <c r="F39" s="14">
        <f>IFERROR(VLOOKUP(A:A,Attendence_Analysis_Ready!A:F,6,FALSE),"0")</f>
        <v>89.1</v>
      </c>
      <c r="G39" s="14" t="str">
        <f>IFERROR(VLOOKUP(A:A,Assessment_Analysis_Ready!A:C,3,FALSE),"Not Available")</f>
        <v>Science</v>
      </c>
      <c r="H39" s="16">
        <f>IFERROR(VLOOKUP(A:A,Assessment_Analysis_Ready!A:D,4,FALSE),"Not Available")</f>
        <v>46121</v>
      </c>
      <c r="I39" s="14">
        <f>IFERROR(VLOOKUP(A:A,Assessment_Analysis_Ready!A:E,5,FALSE),"Not Available")</f>
        <v>65</v>
      </c>
      <c r="J39" s="14" t="str">
        <f>IFERROR(VLOOKUP(A:A,Assessment_Analysis_Ready!A:F,6,FALSE),"Not Available")</f>
        <v>Below</v>
      </c>
      <c r="K39" s="14">
        <f>IFERROR(VLOOKUP(A:A,Discipline_Analysis_Ready!A:C,3,FALSE),"Not Available")</f>
        <v>2</v>
      </c>
      <c r="L39" s="14">
        <f>IFERROR(VLOOKUP(A:A,Discipline_Analysis_Ready!A:D,4,FALSE),"Not Available")</f>
        <v>0</v>
      </c>
    </row>
    <row r="40" spans="1:15" x14ac:dyDescent="0.25">
      <c r="A40" s="15" t="s">
        <v>169</v>
      </c>
      <c r="B40" s="15" t="str">
        <f>VLOOKUP(A:A,Student_Analysis_Ready!A:H,8,FALSE)</f>
        <v>Olivia Anderson</v>
      </c>
      <c r="C40" s="14">
        <f>VLOOKUP(A40,Student_Analysis_Ready!A:D,4,FALSE)</f>
        <v>8</v>
      </c>
      <c r="D40" s="14" t="str">
        <f>VLOOKUP(A:A,Student_Analysis_Ready!A:F,6,FALSE)</f>
        <v>Core</v>
      </c>
      <c r="E40" s="14" t="str">
        <f>VLOOKUP(A:A,Student_Analysis_Ready!A:E,5,FALSE)</f>
        <v>Active</v>
      </c>
      <c r="F40" s="14">
        <f>IFERROR(VLOOKUP(A:A,Attendence_Analysis_Ready!A:F,6,FALSE),"0")</f>
        <v>93.1</v>
      </c>
      <c r="G40" s="14" t="str">
        <f>IFERROR(VLOOKUP(A:A,Assessment_Analysis_Ready!A:C,3,FALSE),"Not Available")</f>
        <v>Science</v>
      </c>
      <c r="H40" s="16">
        <f>IFERROR(VLOOKUP(A:A,Assessment_Analysis_Ready!A:D,4,FALSE),"Not Available")</f>
        <v>46085</v>
      </c>
      <c r="I40" s="14">
        <f>IFERROR(VLOOKUP(A:A,Assessment_Analysis_Ready!A:E,5,FALSE),"Not Available")</f>
        <v>86</v>
      </c>
      <c r="J40" s="14" t="str">
        <f>IFERROR(VLOOKUP(A:A,Assessment_Analysis_Ready!A:F,6,FALSE),"Not Available")</f>
        <v>Met</v>
      </c>
      <c r="K40" s="14">
        <f>IFERROR(VLOOKUP(A:A,Discipline_Analysis_Ready!A:C,3,FALSE),"Not Available")</f>
        <v>3</v>
      </c>
      <c r="L40" s="14">
        <f>IFERROR(VLOOKUP(A:A,Discipline_Analysis_Ready!A:D,4,FALSE),"Not Available")</f>
        <v>0</v>
      </c>
    </row>
    <row r="41" spans="1:15" x14ac:dyDescent="0.25">
      <c r="A41" s="15" t="s">
        <v>170</v>
      </c>
      <c r="B41" s="15" t="str">
        <f>VLOOKUP(A:A,Student_Analysis_Ready!A:H,8,FALSE)</f>
        <v>James Miller</v>
      </c>
      <c r="C41" s="14">
        <f>VLOOKUP(A41,Student_Analysis_Ready!A:D,4,FALSE)</f>
        <v>5</v>
      </c>
      <c r="D41" s="14" t="str">
        <f>VLOOKUP(A:A,Student_Analysis_Ready!A:F,6,FALSE)</f>
        <v>Core</v>
      </c>
      <c r="E41" s="14" t="str">
        <f>VLOOKUP(A:A,Student_Analysis_Ready!A:E,5,FALSE)</f>
        <v>Active</v>
      </c>
      <c r="F41" s="14">
        <f>IFERROR(VLOOKUP(A:A,Attendence_Analysis_Ready!A:F,6,FALSE),"0")</f>
        <v>95.6</v>
      </c>
      <c r="G41" s="14" t="str">
        <f>IFERROR(VLOOKUP(A:A,Assessment_Analysis_Ready!A:C,3,FALSE),"Not Available")</f>
        <v>Math</v>
      </c>
      <c r="H41" s="16">
        <f>IFERROR(VLOOKUP(A:A,Assessment_Analysis_Ready!A:D,4,FALSE),"Not Available")</f>
        <v>46107</v>
      </c>
      <c r="I41" s="14">
        <f>IFERROR(VLOOKUP(A:A,Assessment_Analysis_Ready!A:E,5,FALSE),"Not Available")</f>
        <v>75</v>
      </c>
      <c r="J41" s="14" t="str">
        <f>IFERROR(VLOOKUP(A:A,Assessment_Analysis_Ready!A:F,6,FALSE),"Not Available")</f>
        <v>Met</v>
      </c>
      <c r="K41" s="14">
        <f>IFERROR(VLOOKUP(A:A,Discipline_Analysis_Ready!A:C,3,FALSE),"Not Available")</f>
        <v>3</v>
      </c>
      <c r="L41" s="14">
        <f>IFERROR(VLOOKUP(A:A,Discipline_Analysis_Ready!A:D,4,FALSE),"Not Available")</f>
        <v>0</v>
      </c>
    </row>
    <row r="42" spans="1:15" x14ac:dyDescent="0.25">
      <c r="A42" s="15" t="s">
        <v>171</v>
      </c>
      <c r="B42" s="15" t="str">
        <f>VLOOKUP(A:A,Student_Analysis_Ready!A:H,8,FALSE)</f>
        <v>Lucas Lee</v>
      </c>
      <c r="C42" s="14">
        <f>VLOOKUP(A42,Student_Analysis_Ready!A:D,4,FALSE)</f>
        <v>8</v>
      </c>
      <c r="D42" s="14" t="str">
        <f>VLOOKUP(A:A,Student_Analysis_Ready!A:F,6,FALSE)</f>
        <v>Core</v>
      </c>
      <c r="E42" s="14" t="str">
        <f>VLOOKUP(A:A,Student_Analysis_Ready!A:E,5,FALSE)</f>
        <v>Active</v>
      </c>
      <c r="F42" s="14">
        <f>IFERROR(VLOOKUP(A:A,Attendence_Analysis_Ready!A:F,6,FALSE),"0")</f>
        <v>94.7</v>
      </c>
      <c r="G42" s="14" t="str">
        <f>IFERROR(VLOOKUP(A:A,Assessment_Analysis_Ready!A:C,3,FALSE),"Not Available")</f>
        <v>ELA</v>
      </c>
      <c r="H42" s="16">
        <f>IFERROR(VLOOKUP(A:A,Assessment_Analysis_Ready!A:D,4,FALSE),"Not Available")</f>
        <v>46117</v>
      </c>
      <c r="I42" s="14">
        <f>IFERROR(VLOOKUP(A:A,Assessment_Analysis_Ready!A:E,5,FALSE),"Not Available")</f>
        <v>100</v>
      </c>
      <c r="J42" s="14" t="str">
        <f>IFERROR(VLOOKUP(A:A,Assessment_Analysis_Ready!A:F,6,FALSE),"Not Available")</f>
        <v>Met</v>
      </c>
      <c r="K42" s="14">
        <f>IFERROR(VLOOKUP(A:A,Discipline_Analysis_Ready!A:C,3,FALSE),"Not Available")</f>
        <v>2</v>
      </c>
      <c r="L42" s="14">
        <f>IFERROR(VLOOKUP(A:A,Discipline_Analysis_Ready!A:D,4,FALSE),"Not Available")</f>
        <v>1</v>
      </c>
    </row>
    <row r="43" spans="1:15" x14ac:dyDescent="0.25">
      <c r="A43" s="15" t="s">
        <v>172</v>
      </c>
      <c r="B43" s="15" t="str">
        <f>VLOOKUP(A:A,Student_Analysis_Ready!A:H,8,FALSE)</f>
        <v>Charlotte Brown</v>
      </c>
      <c r="C43" s="14">
        <f>VLOOKUP(A43,Student_Analysis_Ready!A:D,4,FALSE)</f>
        <v>8</v>
      </c>
      <c r="D43" s="14" t="str">
        <f>VLOOKUP(A:A,Student_Analysis_Ready!A:F,6,FALSE)</f>
        <v>Core</v>
      </c>
      <c r="E43" s="14" t="str">
        <f>VLOOKUP(A:A,Student_Analysis_Ready!A:E,5,FALSE)</f>
        <v>Active</v>
      </c>
      <c r="F43" s="14">
        <f>IFERROR(VLOOKUP(A:A,Attendence_Analysis_Ready!A:F,6,FALSE),"0")</f>
        <v>79.2</v>
      </c>
      <c r="G43" s="14" t="str">
        <f>IFERROR(VLOOKUP(A:A,Assessment_Analysis_Ready!A:C,3,FALSE),"Not Available")</f>
        <v>Not Available</v>
      </c>
      <c r="H43" s="16" t="str">
        <f>IFERROR(VLOOKUP(A:A,Assessment_Analysis_Ready!A:D,4,FALSE),"Not Available")</f>
        <v>Not Available</v>
      </c>
      <c r="I43" s="14" t="str">
        <f>IFERROR(VLOOKUP(A:A,Assessment_Analysis_Ready!A:E,5,FALSE),"Not Available")</f>
        <v>Not Available</v>
      </c>
      <c r="J43" s="14" t="str">
        <f>IFERROR(VLOOKUP(A:A,Assessment_Analysis_Ready!A:F,6,FALSE),"Not Available")</f>
        <v>Not Available</v>
      </c>
      <c r="K43" s="14">
        <f>IFERROR(VLOOKUP(A:A,Discipline_Analysis_Ready!A:C,3,FALSE),"Not Available")</f>
        <v>0</v>
      </c>
      <c r="L43" s="14">
        <f>IFERROR(VLOOKUP(A:A,Discipline_Analysis_Ready!A:D,4,FALSE),"Not Available")</f>
        <v>0</v>
      </c>
    </row>
    <row r="44" spans="1:15" x14ac:dyDescent="0.25">
      <c r="A44" s="15" t="s">
        <v>173</v>
      </c>
      <c r="B44" s="15" t="str">
        <f>VLOOKUP(A:A,Student_Analysis_Ready!A:H,8,FALSE)</f>
        <v>Mia Garcia</v>
      </c>
      <c r="C44" s="14">
        <f>VLOOKUP(A44,Student_Analysis_Ready!A:D,4,FALSE)</f>
        <v>7</v>
      </c>
      <c r="D44" s="14" t="str">
        <f>VLOOKUP(A:A,Student_Analysis_Ready!A:F,6,FALSE)</f>
        <v>Core</v>
      </c>
      <c r="E44" s="14" t="str">
        <f>VLOOKUP(A:A,Student_Analysis_Ready!A:E,5,FALSE)</f>
        <v>Active</v>
      </c>
      <c r="F44" s="14">
        <f>IFERROR(VLOOKUP(A:A,Attendence_Analysis_Ready!A:F,6,FALSE),"0")</f>
        <v>98.3</v>
      </c>
      <c r="G44" s="14" t="str">
        <f>IFERROR(VLOOKUP(A:A,Assessment_Analysis_Ready!A:C,3,FALSE),"Not Available")</f>
        <v>ELA</v>
      </c>
      <c r="H44" s="16">
        <f>IFERROR(VLOOKUP(A:A,Assessment_Analysis_Ready!A:D,4,FALSE),"Not Available")</f>
        <v>46085</v>
      </c>
      <c r="I44" s="14">
        <f>IFERROR(VLOOKUP(A:A,Assessment_Analysis_Ready!A:E,5,FALSE),"Not Available")</f>
        <v>79</v>
      </c>
      <c r="J44" s="14" t="str">
        <f>IFERROR(VLOOKUP(A:A,Assessment_Analysis_Ready!A:F,6,FALSE),"Not Available")</f>
        <v>Met</v>
      </c>
      <c r="K44" s="14">
        <f>IFERROR(VLOOKUP(A:A,Discipline_Analysis_Ready!A:C,3,FALSE),"Not Available")</f>
        <v>0</v>
      </c>
      <c r="L44" s="14">
        <f>IFERROR(VLOOKUP(A:A,Discipline_Analysis_Ready!A:D,4,FALSE),"Not Available")</f>
        <v>0</v>
      </c>
    </row>
    <row r="45" spans="1:15" x14ac:dyDescent="0.25">
      <c r="A45" s="15" t="s">
        <v>174</v>
      </c>
      <c r="B45" s="15" t="str">
        <f>VLOOKUP(A:A,Student_Analysis_Ready!A:H,8,FALSE)</f>
        <v>Henry Taylor</v>
      </c>
      <c r="C45" s="14">
        <f>VLOOKUP(A45,Student_Analysis_Ready!A:D,4,FALSE)</f>
        <v>5</v>
      </c>
      <c r="D45" s="14" t="str">
        <f>VLOOKUP(A:A,Student_Analysis_Ready!A:F,6,FALSE)</f>
        <v>Core</v>
      </c>
      <c r="E45" s="14" t="str">
        <f>VLOOKUP(A:A,Student_Analysis_Ready!A:E,5,FALSE)</f>
        <v>Active</v>
      </c>
      <c r="F45" s="14">
        <f>IFERROR(VLOOKUP(A:A,Attendence_Analysis_Ready!A:F,6,FALSE),"0")</f>
        <v>86.7</v>
      </c>
      <c r="G45" s="14" t="str">
        <f>IFERROR(VLOOKUP(A:A,Assessment_Analysis_Ready!A:C,3,FALSE),"Not Available")</f>
        <v>ELA</v>
      </c>
      <c r="H45" s="16">
        <f>IFERROR(VLOOKUP(A:A,Assessment_Analysis_Ready!A:D,4,FALSE),"Not Available")</f>
        <v>46056</v>
      </c>
      <c r="I45" s="14">
        <f>IFERROR(VLOOKUP(A:A,Assessment_Analysis_Ready!A:E,5,FALSE),"Not Available")</f>
        <v>93</v>
      </c>
      <c r="J45" s="14" t="str">
        <f>IFERROR(VLOOKUP(A:A,Assessment_Analysis_Ready!A:F,6,FALSE),"Not Available")</f>
        <v>Met</v>
      </c>
      <c r="K45" s="14">
        <f>IFERROR(VLOOKUP(A:A,Discipline_Analysis_Ready!A:C,3,FALSE),"Not Available")</f>
        <v>1</v>
      </c>
      <c r="L45" s="14">
        <f>IFERROR(VLOOKUP(A:A,Discipline_Analysis_Ready!A:D,4,FALSE),"Not Available")</f>
        <v>0</v>
      </c>
    </row>
    <row r="46" spans="1:15" x14ac:dyDescent="0.25">
      <c r="A46" s="15" t="s">
        <v>175</v>
      </c>
      <c r="B46" s="15" t="str">
        <f>VLOOKUP(A:A,Student_Analysis_Ready!A:H,8,FALSE)</f>
        <v>Harper Thomas</v>
      </c>
      <c r="C46" s="14">
        <f>VLOOKUP(A46,Student_Analysis_Ready!A:D,4,FALSE)</f>
        <v>8</v>
      </c>
      <c r="D46" s="14" t="str">
        <f>VLOOKUP(A:A,Student_Analysis_Ready!A:F,6,FALSE)</f>
        <v>Core</v>
      </c>
      <c r="E46" s="14" t="str">
        <f>VLOOKUP(A:A,Student_Analysis_Ready!A:E,5,FALSE)</f>
        <v>Active</v>
      </c>
      <c r="F46" s="14">
        <f>IFERROR(VLOOKUP(A:A,Attendence_Analysis_Ready!A:F,6,FALSE),"0")</f>
        <v>84.6</v>
      </c>
      <c r="G46" s="14" t="str">
        <f>IFERROR(VLOOKUP(A:A,Assessment_Analysis_Ready!A:C,3,FALSE),"Not Available")</f>
        <v>Math</v>
      </c>
      <c r="H46" s="16">
        <f>IFERROR(VLOOKUP(A:A,Assessment_Analysis_Ready!A:D,4,FALSE),"Not Available")</f>
        <v>46122</v>
      </c>
      <c r="I46" s="14">
        <f>IFERROR(VLOOKUP(A:A,Assessment_Analysis_Ready!A:E,5,FALSE),"Not Available")</f>
        <v>70</v>
      </c>
      <c r="J46" s="14" t="str">
        <f>IFERROR(VLOOKUP(A:A,Assessment_Analysis_Ready!A:F,6,FALSE),"Not Available")</f>
        <v>Met</v>
      </c>
      <c r="K46" s="14">
        <f>IFERROR(VLOOKUP(A:A,Discipline_Analysis_Ready!A:C,3,FALSE),"Not Available")</f>
        <v>1</v>
      </c>
      <c r="L46" s="14">
        <f>IFERROR(VLOOKUP(A:A,Discipline_Analysis_Ready!A:D,4,FALSE),"Not Available")</f>
        <v>0</v>
      </c>
    </row>
    <row r="47" spans="1:15" x14ac:dyDescent="0.25">
      <c r="A47" s="15" t="s">
        <v>176</v>
      </c>
      <c r="B47" s="15" t="str">
        <f>VLOOKUP(A:A,Student_Analysis_Ready!A:H,8,FALSE)</f>
        <v>Noah Davis</v>
      </c>
      <c r="C47" s="14">
        <f>VLOOKUP(A47,Student_Analysis_Ready!A:D,4,FALSE)</f>
        <v>8</v>
      </c>
      <c r="D47" s="14" t="str">
        <f>VLOOKUP(A:A,Student_Analysis_Ready!A:F,6,FALSE)</f>
        <v>Core</v>
      </c>
      <c r="E47" s="14" t="str">
        <f>VLOOKUP(A:A,Student_Analysis_Ready!A:E,5,FALSE)</f>
        <v>Active</v>
      </c>
      <c r="F47" s="14">
        <f>IFERROR(VLOOKUP(A:A,Attendence_Analysis_Ready!A:F,6,FALSE),"0")</f>
        <v>100</v>
      </c>
      <c r="G47" s="14" t="str">
        <f>IFERROR(VLOOKUP(A:A,Assessment_Analysis_Ready!A:C,3,FALSE),"Not Available")</f>
        <v>Science</v>
      </c>
      <c r="H47" s="16">
        <f>IFERROR(VLOOKUP(A:A,Assessment_Analysis_Ready!A:D,4,FALSE),"Not Available")</f>
        <v>46099</v>
      </c>
      <c r="I47" s="14">
        <f>IFERROR(VLOOKUP(A:A,Assessment_Analysis_Ready!A:E,5,FALSE),"Not Available")</f>
        <v>54</v>
      </c>
      <c r="J47" s="14" t="str">
        <f>IFERROR(VLOOKUP(A:A,Assessment_Analysis_Ready!A:F,6,FALSE),"Not Available")</f>
        <v>Below</v>
      </c>
      <c r="K47" s="14">
        <f>IFERROR(VLOOKUP(A:A,Discipline_Analysis_Ready!A:C,3,FALSE),"Not Available")</f>
        <v>1</v>
      </c>
      <c r="L47" s="14">
        <f>IFERROR(VLOOKUP(A:A,Discipline_Analysis_Ready!A:D,4,FALSE),"Not Available")</f>
        <v>0</v>
      </c>
    </row>
    <row r="48" spans="1:15" x14ac:dyDescent="0.25">
      <c r="A48" s="15" t="s">
        <v>177</v>
      </c>
      <c r="B48" s="15" t="str">
        <f>VLOOKUP(A:A,Student_Analysis_Ready!A:H,8,FALSE)</f>
        <v>Jack Anderson</v>
      </c>
      <c r="C48" s="14">
        <f>VLOOKUP(A48,Student_Analysis_Ready!A:D,4,FALSE)</f>
        <v>6</v>
      </c>
      <c r="D48" s="14" t="str">
        <f>VLOOKUP(A:A,Student_Analysis_Ready!A:F,6,FALSE)</f>
        <v>MTSS Tier 3</v>
      </c>
      <c r="E48" s="14" t="str">
        <f>VLOOKUP(A:A,Student_Analysis_Ready!A:E,5,FALSE)</f>
        <v>Withdrawn</v>
      </c>
      <c r="F48" s="14">
        <f>IFERROR(VLOOKUP(A:A,Attendence_Analysis_Ready!A:F,6,FALSE),"0")</f>
        <v>88.6</v>
      </c>
      <c r="G48" s="14" t="str">
        <f>IFERROR(VLOOKUP(A:A,Assessment_Analysis_Ready!A:C,3,FALSE),"Not Available")</f>
        <v>ELA</v>
      </c>
      <c r="H48" s="16">
        <f>IFERROR(VLOOKUP(A:A,Assessment_Analysis_Ready!A:D,4,FALSE),"Not Available")</f>
        <v>46097</v>
      </c>
      <c r="I48" s="14">
        <f>IFERROR(VLOOKUP(A:A,Assessment_Analysis_Ready!A:E,5,FALSE),"Not Available")</f>
        <v>64</v>
      </c>
      <c r="J48" s="14" t="str">
        <f>IFERROR(VLOOKUP(A:A,Assessment_Analysis_Ready!A:F,6,FALSE),"Not Available")</f>
        <v>Below</v>
      </c>
      <c r="K48" s="14">
        <f>IFERROR(VLOOKUP(A:A,Discipline_Analysis_Ready!A:C,3,FALSE),"Not Available")</f>
        <v>4</v>
      </c>
      <c r="L48" s="14">
        <f>IFERROR(VLOOKUP(A:A,Discipline_Analysis_Ready!A:D,4,FALSE),"Not Available")</f>
        <v>0</v>
      </c>
    </row>
    <row r="49" spans="1:12" x14ac:dyDescent="0.25">
      <c r="A49" s="15" t="s">
        <v>178</v>
      </c>
      <c r="B49" s="15" t="str">
        <f>VLOOKUP(A:A,Student_Analysis_Ready!A:H,8,FALSE)</f>
        <v>Lucas Patel</v>
      </c>
      <c r="C49" s="14">
        <f>VLOOKUP(A49,Student_Analysis_Ready!A:D,4,FALSE)</f>
        <v>8</v>
      </c>
      <c r="D49" s="14" t="str">
        <f>VLOOKUP(A:A,Student_Analysis_Ready!A:F,6,FALSE)</f>
        <v>MTSS Tier 2</v>
      </c>
      <c r="E49" s="14" t="str">
        <f>VLOOKUP(A:A,Student_Analysis_Ready!A:E,5,FALSE)</f>
        <v>Active</v>
      </c>
      <c r="F49" s="14">
        <f>IFERROR(VLOOKUP(A:A,Attendence_Analysis_Ready!A:F,6,FALSE),"0")</f>
        <v>91.1</v>
      </c>
      <c r="G49" s="14" t="str">
        <f>IFERROR(VLOOKUP(A:A,Assessment_Analysis_Ready!A:C,3,FALSE),"Not Available")</f>
        <v>Math</v>
      </c>
      <c r="H49" s="16">
        <f>IFERROR(VLOOKUP(A:A,Assessment_Analysis_Ready!A:D,4,FALSE),"Not Available")</f>
        <v>46085</v>
      </c>
      <c r="I49" s="14">
        <f>IFERROR(VLOOKUP(A:A,Assessment_Analysis_Ready!A:E,5,FALSE),"Not Available")</f>
        <v>78</v>
      </c>
      <c r="J49" s="14" t="str">
        <f>IFERROR(VLOOKUP(A:A,Assessment_Analysis_Ready!A:F,6,FALSE),"Not Available")</f>
        <v>Met</v>
      </c>
      <c r="K49" s="14">
        <f>IFERROR(VLOOKUP(A:A,Discipline_Analysis_Ready!A:C,3,FALSE),"Not Available")</f>
        <v>1</v>
      </c>
      <c r="L49" s="14">
        <f>IFERROR(VLOOKUP(A:A,Discipline_Analysis_Ready!A:D,4,FALSE),"Not Available")</f>
        <v>0</v>
      </c>
    </row>
    <row r="50" spans="1:12" x14ac:dyDescent="0.25">
      <c r="A50" s="15" t="s">
        <v>179</v>
      </c>
      <c r="B50" s="15" t="str">
        <f>VLOOKUP(A:A,Student_Analysis_Ready!A:H,8,FALSE)</f>
        <v>Noah Davis</v>
      </c>
      <c r="C50" s="14">
        <f>VLOOKUP(A50,Student_Analysis_Ready!A:D,4,FALSE)</f>
        <v>8</v>
      </c>
      <c r="D50" s="14" t="str">
        <f>VLOOKUP(A:A,Student_Analysis_Ready!A:F,6,FALSE)</f>
        <v>Core</v>
      </c>
      <c r="E50" s="14" t="str">
        <f>VLOOKUP(A:A,Student_Analysis_Ready!A:E,5,FALSE)</f>
        <v>Active</v>
      </c>
      <c r="F50" s="14">
        <f>IFERROR(VLOOKUP(A:A,Attendence_Analysis_Ready!A:F,6,FALSE),"0")</f>
        <v>91.8</v>
      </c>
      <c r="G50" s="14" t="str">
        <f>IFERROR(VLOOKUP(A:A,Assessment_Analysis_Ready!A:C,3,FALSE),"Not Available")</f>
        <v>ELA</v>
      </c>
      <c r="H50" s="16">
        <f>IFERROR(VLOOKUP(A:A,Assessment_Analysis_Ready!A:D,4,FALSE),"Not Available")</f>
        <v>46107</v>
      </c>
      <c r="I50" s="14">
        <f>IFERROR(VLOOKUP(A:A,Assessment_Analysis_Ready!A:E,5,FALSE),"Not Available")</f>
        <v>73</v>
      </c>
      <c r="J50" s="14" t="str">
        <f>IFERROR(VLOOKUP(A:A,Assessment_Analysis_Ready!A:F,6,FALSE),"Not Available")</f>
        <v>Met</v>
      </c>
      <c r="K50" s="14">
        <f>IFERROR(VLOOKUP(A:A,Discipline_Analysis_Ready!A:C,3,FALSE),"Not Available")</f>
        <v>1</v>
      </c>
      <c r="L50" s="14">
        <f>IFERROR(VLOOKUP(A:A,Discipline_Analysis_Ready!A:D,4,FALSE),"Not Available")</f>
        <v>0</v>
      </c>
    </row>
    <row r="51" spans="1:12" x14ac:dyDescent="0.25">
      <c r="A51" s="15" t="s">
        <v>180</v>
      </c>
      <c r="B51" s="15" t="str">
        <f>VLOOKUP(A:A,Student_Analysis_Ready!A:H,8,FALSE)</f>
        <v>Liam Miller</v>
      </c>
      <c r="C51" s="14">
        <f>VLOOKUP(A51,Student_Analysis_Ready!A:D,4,FALSE)</f>
        <v>6</v>
      </c>
      <c r="D51" s="14" t="str">
        <f>VLOOKUP(A:A,Student_Analysis_Ready!A:F,6,FALSE)</f>
        <v>MTSS Tier 3</v>
      </c>
      <c r="E51" s="14" t="str">
        <f>VLOOKUP(A:A,Student_Analysis_Ready!A:E,5,FALSE)</f>
        <v>Active</v>
      </c>
      <c r="F51" s="14">
        <f>IFERROR(VLOOKUP(A:A,Attendence_Analysis_Ready!A:F,6,FALSE),"0")</f>
        <v>87.9</v>
      </c>
      <c r="G51" s="14" t="str">
        <f>IFERROR(VLOOKUP(A:A,Assessment_Analysis_Ready!A:C,3,FALSE),"Not Available")</f>
        <v>ELA</v>
      </c>
      <c r="H51" s="16">
        <f>IFERROR(VLOOKUP(A:A,Assessment_Analysis_Ready!A:D,4,FALSE),"Not Available")</f>
        <v>46037</v>
      </c>
      <c r="I51" s="14">
        <f>IFERROR(VLOOKUP(A:A,Assessment_Analysis_Ready!A:E,5,FALSE),"Not Available")</f>
        <v>86</v>
      </c>
      <c r="J51" s="14" t="str">
        <f>IFERROR(VLOOKUP(A:A,Assessment_Analysis_Ready!A:F,6,FALSE),"Not Available")</f>
        <v>Met</v>
      </c>
      <c r="K51" s="14">
        <f>IFERROR(VLOOKUP(A:A,Discipline_Analysis_Ready!A:C,3,FALSE),"Not Available")</f>
        <v>2</v>
      </c>
      <c r="L51" s="14">
        <f>IFERROR(VLOOKUP(A:A,Discipline_Analysis_Ready!A:D,4,FALSE),"Not Available")</f>
        <v>0</v>
      </c>
    </row>
    <row r="52" spans="1:12" x14ac:dyDescent="0.25">
      <c r="A52" s="15" t="s">
        <v>181</v>
      </c>
      <c r="B52" s="15" t="str">
        <f>VLOOKUP(A:A,Student_Analysis_Ready!A:H,8,FALSE)</f>
        <v>Ethan Johnson</v>
      </c>
      <c r="C52" s="14">
        <f>VLOOKUP(A52,Student_Analysis_Ready!A:D,4,FALSE)</f>
        <v>7</v>
      </c>
      <c r="D52" s="14" t="str">
        <f>VLOOKUP(A:A,Student_Analysis_Ready!A:F,6,FALSE)</f>
        <v>MTSS Tier 1</v>
      </c>
      <c r="E52" s="14" t="str">
        <f>VLOOKUP(A:A,Student_Analysis_Ready!A:E,5,FALSE)</f>
        <v>Active</v>
      </c>
      <c r="F52" s="14">
        <f>IFERROR(VLOOKUP(A:A,Attendence_Analysis_Ready!A:F,6,FALSE),"0")</f>
        <v>100</v>
      </c>
      <c r="G52" s="14" t="str">
        <f>IFERROR(VLOOKUP(A:A,Assessment_Analysis_Ready!A:C,3,FALSE),"Not Available")</f>
        <v>Math</v>
      </c>
      <c r="H52" s="16">
        <f>IFERROR(VLOOKUP(A:A,Assessment_Analysis_Ready!A:D,4,FALSE),"Not Available")</f>
        <v>46049</v>
      </c>
      <c r="I52" s="14">
        <f>IFERROR(VLOOKUP(A:A,Assessment_Analysis_Ready!A:E,5,FALSE),"Not Available")</f>
        <v>75</v>
      </c>
      <c r="J52" s="14" t="str">
        <f>IFERROR(VLOOKUP(A:A,Assessment_Analysis_Ready!A:F,6,FALSE),"Not Available")</f>
        <v>Met</v>
      </c>
      <c r="K52" s="14">
        <f>IFERROR(VLOOKUP(A:A,Discipline_Analysis_Ready!A:C,3,FALSE),"Not Available")</f>
        <v>0</v>
      </c>
      <c r="L52" s="14">
        <f>IFERROR(VLOOKUP(A:A,Discipline_Analysis_Ready!A:D,4,FALSE),"Not Available")</f>
        <v>0</v>
      </c>
    </row>
    <row r="53" spans="1:12" x14ac:dyDescent="0.25">
      <c r="A53" s="15" t="s">
        <v>182</v>
      </c>
      <c r="B53" s="15" t="str">
        <f>VLOOKUP(A:A,Student_Analysis_Ready!A:H,8,FALSE)</f>
        <v>Mason Brown</v>
      </c>
      <c r="C53" s="14">
        <f>VLOOKUP(A53,Student_Analysis_Ready!A:D,4,FALSE)</f>
        <v>8</v>
      </c>
      <c r="D53" s="14" t="str">
        <f>VLOOKUP(A:A,Student_Analysis_Ready!A:F,6,FALSE)</f>
        <v>Core</v>
      </c>
      <c r="E53" s="14" t="str">
        <f>VLOOKUP(A:A,Student_Analysis_Ready!A:E,5,FALSE)</f>
        <v>Active</v>
      </c>
      <c r="F53" s="14">
        <f>IFERROR(VLOOKUP(A:A,Attendence_Analysis_Ready!A:F,6,FALSE),"0")</f>
        <v>88.7</v>
      </c>
      <c r="G53" s="14" t="str">
        <f>IFERROR(VLOOKUP(A:A,Assessment_Analysis_Ready!A:C,3,FALSE),"Not Available")</f>
        <v>Science</v>
      </c>
      <c r="H53" s="16">
        <f>IFERROR(VLOOKUP(A:A,Assessment_Analysis_Ready!A:D,4,FALSE),"Not Available")</f>
        <v>46123</v>
      </c>
      <c r="I53" s="14">
        <f>IFERROR(VLOOKUP(A:A,Assessment_Analysis_Ready!A:E,5,FALSE),"Not Available")</f>
        <v>85</v>
      </c>
      <c r="J53" s="14" t="str">
        <f>IFERROR(VLOOKUP(A:A,Assessment_Analysis_Ready!A:F,6,FALSE),"Not Available")</f>
        <v>Met</v>
      </c>
      <c r="K53" s="14">
        <f>IFERROR(VLOOKUP(A:A,Discipline_Analysis_Ready!A:C,3,FALSE),"Not Available")</f>
        <v>0</v>
      </c>
      <c r="L53" s="14">
        <f>IFERROR(VLOOKUP(A:A,Discipline_Analysis_Ready!A:D,4,FALSE),"Not Available")</f>
        <v>0</v>
      </c>
    </row>
    <row r="54" spans="1:12" x14ac:dyDescent="0.25">
      <c r="A54" s="15" t="s">
        <v>183</v>
      </c>
      <c r="B54" s="15" t="str">
        <f>VLOOKUP(A:A,Student_Analysis_Ready!A:H,8,FALSE)</f>
        <v>Noah Brown</v>
      </c>
      <c r="C54" s="14">
        <f>VLOOKUP(A54,Student_Analysis_Ready!A:D,4,FALSE)</f>
        <v>6</v>
      </c>
      <c r="D54" s="14" t="str">
        <f>VLOOKUP(A:A,Student_Analysis_Ready!A:F,6,FALSE)</f>
        <v>Core</v>
      </c>
      <c r="E54" s="14" t="str">
        <f>VLOOKUP(A:A,Student_Analysis_Ready!A:E,5,FALSE)</f>
        <v>Active</v>
      </c>
      <c r="F54" s="14">
        <f>IFERROR(VLOOKUP(A:A,Attendence_Analysis_Ready!A:F,6,FALSE),"0")</f>
        <v>96.3</v>
      </c>
      <c r="G54" s="14" t="str">
        <f>IFERROR(VLOOKUP(A:A,Assessment_Analysis_Ready!A:C,3,FALSE),"Not Available")</f>
        <v>Science</v>
      </c>
      <c r="H54" s="16">
        <f>IFERROR(VLOOKUP(A:A,Assessment_Analysis_Ready!A:D,4,FALSE),"Not Available")</f>
        <v>46087</v>
      </c>
      <c r="I54" s="14">
        <f>IFERROR(VLOOKUP(A:A,Assessment_Analysis_Ready!A:E,5,FALSE),"Not Available")</f>
        <v>94</v>
      </c>
      <c r="J54" s="14" t="str">
        <f>IFERROR(VLOOKUP(A:A,Assessment_Analysis_Ready!A:F,6,FALSE),"Not Available")</f>
        <v>Met</v>
      </c>
      <c r="K54" s="14">
        <f>IFERROR(VLOOKUP(A:A,Discipline_Analysis_Ready!A:C,3,FALSE),"Not Available")</f>
        <v>1</v>
      </c>
      <c r="L54" s="14">
        <f>IFERROR(VLOOKUP(A:A,Discipline_Analysis_Ready!A:D,4,FALSE),"Not Available")</f>
        <v>0</v>
      </c>
    </row>
    <row r="55" spans="1:12" x14ac:dyDescent="0.25">
      <c r="A55" s="15" t="s">
        <v>184</v>
      </c>
      <c r="B55" s="15" t="str">
        <f>VLOOKUP(A:A,Student_Analysis_Ready!A:H,8,FALSE)</f>
        <v>Jack Taylor</v>
      </c>
      <c r="C55" s="14">
        <f>VLOOKUP(A55,Student_Analysis_Ready!A:D,4,FALSE)</f>
        <v>5</v>
      </c>
      <c r="D55" s="14" t="str">
        <f>VLOOKUP(A:A,Student_Analysis_Ready!A:F,6,FALSE)</f>
        <v>Core</v>
      </c>
      <c r="E55" s="14" t="str">
        <f>VLOOKUP(A:A,Student_Analysis_Ready!A:E,5,FALSE)</f>
        <v>Active</v>
      </c>
      <c r="F55" s="14">
        <f>IFERROR(VLOOKUP(A:A,Attendence_Analysis_Ready!A:F,6,FALSE),"0")</f>
        <v>97.7</v>
      </c>
      <c r="G55" s="14" t="str">
        <f>IFERROR(VLOOKUP(A:A,Assessment_Analysis_Ready!A:C,3,FALSE),"Not Available")</f>
        <v>Math</v>
      </c>
      <c r="H55" s="16">
        <f>IFERROR(VLOOKUP(A:A,Assessment_Analysis_Ready!A:D,4,FALSE),"Not Available")</f>
        <v>46092</v>
      </c>
      <c r="I55" s="14">
        <f>IFERROR(VLOOKUP(A:A,Assessment_Analysis_Ready!A:E,5,FALSE),"Not Available")</f>
        <v>74</v>
      </c>
      <c r="J55" s="14" t="str">
        <f>IFERROR(VLOOKUP(A:A,Assessment_Analysis_Ready!A:F,6,FALSE),"Not Available")</f>
        <v>Met</v>
      </c>
      <c r="K55" s="14">
        <f>IFERROR(VLOOKUP(A:A,Discipline_Analysis_Ready!A:C,3,FALSE),"Not Available")</f>
        <v>0</v>
      </c>
      <c r="L55" s="14">
        <f>IFERROR(VLOOKUP(A:A,Discipline_Analysis_Ready!A:D,4,FALSE),"Not Available")</f>
        <v>0</v>
      </c>
    </row>
    <row r="56" spans="1:12" x14ac:dyDescent="0.25">
      <c r="A56" s="15" t="s">
        <v>185</v>
      </c>
      <c r="B56" s="15" t="str">
        <f>VLOOKUP(A:A,Student_Analysis_Ready!A:H,8,FALSE)</f>
        <v>James Johnson</v>
      </c>
      <c r="C56" s="14">
        <f>VLOOKUP(A56,Student_Analysis_Ready!A:D,4,FALSE)</f>
        <v>7</v>
      </c>
      <c r="D56" s="14" t="str">
        <f>VLOOKUP(A:A,Student_Analysis_Ready!A:F,6,FALSE)</f>
        <v>Core</v>
      </c>
      <c r="E56" s="14" t="str">
        <f>VLOOKUP(A:A,Student_Analysis_Ready!A:E,5,FALSE)</f>
        <v>Active</v>
      </c>
      <c r="F56" s="14">
        <f>IFERROR(VLOOKUP(A:A,Attendence_Analysis_Ready!A:F,6,FALSE),"0")</f>
        <v>93.1</v>
      </c>
      <c r="G56" s="14" t="str">
        <f>IFERROR(VLOOKUP(A:A,Assessment_Analysis_Ready!A:C,3,FALSE),"Not Available")</f>
        <v>Science</v>
      </c>
      <c r="H56" s="16">
        <f>IFERROR(VLOOKUP(A:A,Assessment_Analysis_Ready!A:D,4,FALSE),"Not Available")</f>
        <v>46119</v>
      </c>
      <c r="I56" s="14">
        <f>IFERROR(VLOOKUP(A:A,Assessment_Analysis_Ready!A:E,5,FALSE),"Not Available")</f>
        <v>83</v>
      </c>
      <c r="J56" s="14" t="str">
        <f>IFERROR(VLOOKUP(A:A,Assessment_Analysis_Ready!A:F,6,FALSE),"Not Available")</f>
        <v>Met</v>
      </c>
      <c r="K56" s="14">
        <f>IFERROR(VLOOKUP(A:A,Discipline_Analysis_Ready!A:C,3,FALSE),"Not Available")</f>
        <v>1</v>
      </c>
      <c r="L56" s="14">
        <f>IFERROR(VLOOKUP(A:A,Discipline_Analysis_Ready!A:D,4,FALSE),"Not Available")</f>
        <v>0</v>
      </c>
    </row>
    <row r="57" spans="1:12" x14ac:dyDescent="0.25">
      <c r="A57" s="15" t="s">
        <v>186</v>
      </c>
      <c r="B57" s="15" t="str">
        <f>VLOOKUP(A:A,Student_Analysis_Ready!A:H,8,FALSE)</f>
        <v>Liam Thomas</v>
      </c>
      <c r="C57" s="14">
        <f>VLOOKUP(A57,Student_Analysis_Ready!A:D,4,FALSE)</f>
        <v>5</v>
      </c>
      <c r="D57" s="14" t="str">
        <f>VLOOKUP(A:A,Student_Analysis_Ready!A:F,6,FALSE)</f>
        <v>MTSS Tier 1</v>
      </c>
      <c r="E57" s="14" t="str">
        <f>VLOOKUP(A:A,Student_Analysis_Ready!A:E,5,FALSE)</f>
        <v>Active</v>
      </c>
      <c r="F57" s="14">
        <f>IFERROR(VLOOKUP(A:A,Attendence_Analysis_Ready!A:F,6,FALSE),"0")</f>
        <v>98</v>
      </c>
      <c r="G57" s="14" t="str">
        <f>IFERROR(VLOOKUP(A:A,Assessment_Analysis_Ready!A:C,3,FALSE),"Not Available")</f>
        <v>Math</v>
      </c>
      <c r="H57" s="16">
        <f>IFERROR(VLOOKUP(A:A,Assessment_Analysis_Ready!A:D,4,FALSE),"Not Available")</f>
        <v>46098</v>
      </c>
      <c r="I57" s="14">
        <f>IFERROR(VLOOKUP(A:A,Assessment_Analysis_Ready!A:E,5,FALSE),"Not Available")</f>
        <v>55</v>
      </c>
      <c r="J57" s="14" t="str">
        <f>IFERROR(VLOOKUP(A:A,Assessment_Analysis_Ready!A:F,6,FALSE),"Not Available")</f>
        <v>Below</v>
      </c>
      <c r="K57" s="14">
        <f>IFERROR(VLOOKUP(A:A,Discipline_Analysis_Ready!A:C,3,FALSE),"Not Available")</f>
        <v>1</v>
      </c>
      <c r="L57" s="14">
        <f>IFERROR(VLOOKUP(A:A,Discipline_Analysis_Ready!A:D,4,FALSE),"Not Available")</f>
        <v>0</v>
      </c>
    </row>
    <row r="58" spans="1:12" x14ac:dyDescent="0.25">
      <c r="A58" s="15" t="s">
        <v>187</v>
      </c>
      <c r="B58" s="15" t="str">
        <f>VLOOKUP(A:A,Student_Analysis_Ready!A:H,8,FALSE)</f>
        <v>Mason Wilson</v>
      </c>
      <c r="C58" s="14">
        <f>VLOOKUP(A58,Student_Analysis_Ready!A:D,4,FALSE)</f>
        <v>5</v>
      </c>
      <c r="D58" s="14" t="str">
        <f>VLOOKUP(A:A,Student_Analysis_Ready!A:F,6,FALSE)</f>
        <v>MTSS Tier 1</v>
      </c>
      <c r="E58" s="14" t="str">
        <f>VLOOKUP(A:A,Student_Analysis_Ready!A:E,5,FALSE)</f>
        <v>Withdrawn</v>
      </c>
      <c r="F58" s="14">
        <f>IFERROR(VLOOKUP(A:A,Attendence_Analysis_Ready!A:F,6,FALSE),"0")</f>
        <v>91.2</v>
      </c>
      <c r="G58" s="14" t="str">
        <f>IFERROR(VLOOKUP(A:A,Assessment_Analysis_Ready!A:C,3,FALSE),"Not Available")</f>
        <v>Math</v>
      </c>
      <c r="H58" s="16">
        <f>IFERROR(VLOOKUP(A:A,Assessment_Analysis_Ready!A:D,4,FALSE),"Not Available")</f>
        <v>46068</v>
      </c>
      <c r="I58" s="14">
        <f>IFERROR(VLOOKUP(A:A,Assessment_Analysis_Ready!A:E,5,FALSE),"Not Available")</f>
        <v>75</v>
      </c>
      <c r="J58" s="14" t="str">
        <f>IFERROR(VLOOKUP(A:A,Assessment_Analysis_Ready!A:F,6,FALSE),"Not Available")</f>
        <v>Met</v>
      </c>
      <c r="K58" s="14">
        <f>IFERROR(VLOOKUP(A:A,Discipline_Analysis_Ready!A:C,3,FALSE),"Not Available")</f>
        <v>0</v>
      </c>
      <c r="L58" s="14">
        <f>IFERROR(VLOOKUP(A:A,Discipline_Analysis_Ready!A:D,4,FALSE),"Not Available")</f>
        <v>0</v>
      </c>
    </row>
    <row r="59" spans="1:12" x14ac:dyDescent="0.25">
      <c r="A59" s="15" t="s">
        <v>188</v>
      </c>
      <c r="B59" s="15" t="str">
        <f>VLOOKUP(A:A,Student_Analysis_Ready!A:H,8,FALSE)</f>
        <v>Noah Smith</v>
      </c>
      <c r="C59" s="14">
        <f>VLOOKUP(A59,Student_Analysis_Ready!A:D,4,FALSE)</f>
        <v>6</v>
      </c>
      <c r="D59" s="14" t="str">
        <f>VLOOKUP(A:A,Student_Analysis_Ready!A:F,6,FALSE)</f>
        <v>Core</v>
      </c>
      <c r="E59" s="14" t="str">
        <f>VLOOKUP(A:A,Student_Analysis_Ready!A:E,5,FALSE)</f>
        <v>Active</v>
      </c>
      <c r="F59" s="14">
        <f>IFERROR(VLOOKUP(A:A,Attendence_Analysis_Ready!A:F,6,FALSE),"0")</f>
        <v>93.3</v>
      </c>
      <c r="G59" s="14" t="str">
        <f>IFERROR(VLOOKUP(A:A,Assessment_Analysis_Ready!A:C,3,FALSE),"Not Available")</f>
        <v>Math</v>
      </c>
      <c r="H59" s="16">
        <f>IFERROR(VLOOKUP(A:A,Assessment_Analysis_Ready!A:D,4,FALSE),"Not Available")</f>
        <v>46066</v>
      </c>
      <c r="I59" s="14">
        <f>IFERROR(VLOOKUP(A:A,Assessment_Analysis_Ready!A:E,5,FALSE),"Not Available")</f>
        <v>61</v>
      </c>
      <c r="J59" s="14" t="str">
        <f>IFERROR(VLOOKUP(A:A,Assessment_Analysis_Ready!A:F,6,FALSE),"Not Available")</f>
        <v>Below</v>
      </c>
      <c r="K59" s="14">
        <f>IFERROR(VLOOKUP(A:A,Discipline_Analysis_Ready!A:C,3,FALSE),"Not Available")</f>
        <v>0</v>
      </c>
      <c r="L59" s="14">
        <f>IFERROR(VLOOKUP(A:A,Discipline_Analysis_Ready!A:D,4,FALSE),"Not Available")</f>
        <v>0</v>
      </c>
    </row>
    <row r="60" spans="1:12" x14ac:dyDescent="0.25">
      <c r="A60" s="15" t="s">
        <v>189</v>
      </c>
      <c r="B60" s="15" t="str">
        <f>VLOOKUP(A:A,Student_Analysis_Ready!A:H,8,FALSE)</f>
        <v>Henry Garcia</v>
      </c>
      <c r="C60" s="14">
        <f>VLOOKUP(A60,Student_Analysis_Ready!A:D,4,FALSE)</f>
        <v>8</v>
      </c>
      <c r="D60" s="14" t="str">
        <f>VLOOKUP(A:A,Student_Analysis_Ready!A:F,6,FALSE)</f>
        <v>MTSS Tier 3</v>
      </c>
      <c r="E60" s="14" t="str">
        <f>VLOOKUP(A:A,Student_Analysis_Ready!A:E,5,FALSE)</f>
        <v>Active</v>
      </c>
      <c r="F60" s="14">
        <f>IFERROR(VLOOKUP(A:A,Attendence_Analysis_Ready!A:F,6,FALSE),"0")</f>
        <v>98.8</v>
      </c>
      <c r="G60" s="14" t="str">
        <f>IFERROR(VLOOKUP(A:A,Assessment_Analysis_Ready!A:C,3,FALSE),"Not Available")</f>
        <v>Science</v>
      </c>
      <c r="H60" s="16">
        <f>IFERROR(VLOOKUP(A:A,Assessment_Analysis_Ready!A:D,4,FALSE),"Not Available")</f>
        <v>46065</v>
      </c>
      <c r="I60" s="14">
        <f>IFERROR(VLOOKUP(A:A,Assessment_Analysis_Ready!A:E,5,FALSE),"Not Available")</f>
        <v>78</v>
      </c>
      <c r="J60" s="14" t="str">
        <f>IFERROR(VLOOKUP(A:A,Assessment_Analysis_Ready!A:F,6,FALSE),"Not Available")</f>
        <v>Met</v>
      </c>
      <c r="K60" s="14">
        <f>IFERROR(VLOOKUP(A:A,Discipline_Analysis_Ready!A:C,3,FALSE),"Not Available")</f>
        <v>2</v>
      </c>
      <c r="L60" s="14">
        <f>IFERROR(VLOOKUP(A:A,Discipline_Analysis_Ready!A:D,4,FALSE),"Not Available")</f>
        <v>0</v>
      </c>
    </row>
    <row r="61" spans="1:12" x14ac:dyDescent="0.25">
      <c r="A61" s="15" t="s">
        <v>190</v>
      </c>
      <c r="B61" s="15" t="str">
        <f>VLOOKUP(A:A,Student_Analysis_Ready!A:H,8,FALSE)</f>
        <v>Leo Brown</v>
      </c>
      <c r="C61" s="14">
        <f>VLOOKUP(A61,Student_Analysis_Ready!A:D,4,FALSE)</f>
        <v>6</v>
      </c>
      <c r="D61" s="14" t="str">
        <f>VLOOKUP(A:A,Student_Analysis_Ready!A:F,6,FALSE)</f>
        <v>MTSS Tier 2</v>
      </c>
      <c r="E61" s="14" t="str">
        <f>VLOOKUP(A:A,Student_Analysis_Ready!A:E,5,FALSE)</f>
        <v>Active</v>
      </c>
      <c r="F61" s="14">
        <f>IFERROR(VLOOKUP(A:A,Attendence_Analysis_Ready!A:F,6,FALSE),"0")</f>
        <v>100</v>
      </c>
      <c r="G61" s="14" t="str">
        <f>IFERROR(VLOOKUP(A:A,Assessment_Analysis_Ready!A:C,3,FALSE),"Not Available")</f>
        <v>Math</v>
      </c>
      <c r="H61" s="16">
        <f>IFERROR(VLOOKUP(A:A,Assessment_Analysis_Ready!A:D,4,FALSE),"Not Available")</f>
        <v>46085</v>
      </c>
      <c r="I61" s="14">
        <f>IFERROR(VLOOKUP(A:A,Assessment_Analysis_Ready!A:E,5,FALSE),"Not Available")</f>
        <v>79</v>
      </c>
      <c r="J61" s="14" t="str">
        <f>IFERROR(VLOOKUP(A:A,Assessment_Analysis_Ready!A:F,6,FALSE),"Not Available")</f>
        <v>Met</v>
      </c>
      <c r="K61" s="14">
        <f>IFERROR(VLOOKUP(A:A,Discipline_Analysis_Ready!A:C,3,FALSE),"Not Available")</f>
        <v>0</v>
      </c>
      <c r="L61" s="14">
        <f>IFERROR(VLOOKUP(A:A,Discipline_Analysis_Ready!A:D,4,FALSE),"Not Available")</f>
        <v>0</v>
      </c>
    </row>
    <row r="62" spans="1:12" x14ac:dyDescent="0.25">
      <c r="A62" s="15" t="s">
        <v>191</v>
      </c>
      <c r="B62" s="15" t="str">
        <f>VLOOKUP(A:A,Student_Analysis_Ready!A:H,8,FALSE)</f>
        <v>Charlotte Lee</v>
      </c>
      <c r="C62" s="14">
        <f>VLOOKUP(A62,Student_Analysis_Ready!A:D,4,FALSE)</f>
        <v>6</v>
      </c>
      <c r="D62" s="14" t="str">
        <f>VLOOKUP(A:A,Student_Analysis_Ready!A:F,6,FALSE)</f>
        <v>Core</v>
      </c>
      <c r="E62" s="14" t="str">
        <f>VLOOKUP(A:A,Student_Analysis_Ready!A:E,5,FALSE)</f>
        <v>Active</v>
      </c>
      <c r="F62" s="14">
        <f>IFERROR(VLOOKUP(A:A,Attendence_Analysis_Ready!A:F,6,FALSE),"0")</f>
        <v>96</v>
      </c>
      <c r="G62" s="14" t="str">
        <f>IFERROR(VLOOKUP(A:A,Assessment_Analysis_Ready!A:C,3,FALSE),"Not Available")</f>
        <v>ELA</v>
      </c>
      <c r="H62" s="16">
        <f>IFERROR(VLOOKUP(A:A,Assessment_Analysis_Ready!A:D,4,FALSE),"Not Available")</f>
        <v>46081</v>
      </c>
      <c r="I62" s="14">
        <f>IFERROR(VLOOKUP(A:A,Assessment_Analysis_Ready!A:E,5,FALSE),"Not Available")</f>
        <v>79</v>
      </c>
      <c r="J62" s="14" t="str">
        <f>IFERROR(VLOOKUP(A:A,Assessment_Analysis_Ready!A:F,6,FALSE),"Not Available")</f>
        <v>Met</v>
      </c>
      <c r="K62" s="14">
        <f>IFERROR(VLOOKUP(A:A,Discipline_Analysis_Ready!A:C,3,FALSE),"Not Available")</f>
        <v>2</v>
      </c>
      <c r="L62" s="14">
        <f>IFERROR(VLOOKUP(A:A,Discipline_Analysis_Ready!A:D,4,FALSE),"Not Available")</f>
        <v>1</v>
      </c>
    </row>
    <row r="63" spans="1:12" x14ac:dyDescent="0.25">
      <c r="A63" s="15" t="s">
        <v>192</v>
      </c>
      <c r="B63" s="15" t="str">
        <f>VLOOKUP(A:A,Student_Analysis_Ready!A:H,8,FALSE)</f>
        <v>Lucas Brown</v>
      </c>
      <c r="C63" s="14">
        <f>VLOOKUP(A63,Student_Analysis_Ready!A:D,4,FALSE)</f>
        <v>6</v>
      </c>
      <c r="D63" s="14" t="str">
        <f>VLOOKUP(A:A,Student_Analysis_Ready!A:F,6,FALSE)</f>
        <v>MTSS Tier 3</v>
      </c>
      <c r="E63" s="14" t="str">
        <f>VLOOKUP(A:A,Student_Analysis_Ready!A:E,5,FALSE)</f>
        <v>Active</v>
      </c>
      <c r="F63" s="14">
        <f>IFERROR(VLOOKUP(A:A,Attendence_Analysis_Ready!A:F,6,FALSE),"0")</f>
        <v>81.099999999999994</v>
      </c>
      <c r="G63" s="14" t="str">
        <f>IFERROR(VLOOKUP(A:A,Assessment_Analysis_Ready!A:C,3,FALSE),"Not Available")</f>
        <v>Science</v>
      </c>
      <c r="H63" s="16">
        <f>IFERROR(VLOOKUP(A:A,Assessment_Analysis_Ready!A:D,4,FALSE),"Not Available")</f>
        <v>46066</v>
      </c>
      <c r="I63" s="14">
        <f>IFERROR(VLOOKUP(A:A,Assessment_Analysis_Ready!A:E,5,FALSE),"Not Available")</f>
        <v>70</v>
      </c>
      <c r="J63" s="14" t="str">
        <f>IFERROR(VLOOKUP(A:A,Assessment_Analysis_Ready!A:F,6,FALSE),"Not Available")</f>
        <v>Met</v>
      </c>
      <c r="K63" s="14">
        <f>IFERROR(VLOOKUP(A:A,Discipline_Analysis_Ready!A:C,3,FALSE),"Not Available")</f>
        <v>2</v>
      </c>
      <c r="L63" s="14">
        <f>IFERROR(VLOOKUP(A:A,Discipline_Analysis_Ready!A:D,4,FALSE),"Not Available")</f>
        <v>0</v>
      </c>
    </row>
    <row r="64" spans="1:12" x14ac:dyDescent="0.25">
      <c r="A64" s="15" t="s">
        <v>193</v>
      </c>
      <c r="B64" s="15" t="str">
        <f>VLOOKUP(A:A,Student_Analysis_Ready!A:H,8,FALSE)</f>
        <v>Henry Davis</v>
      </c>
      <c r="C64" s="14">
        <f>VLOOKUP(A64,Student_Analysis_Ready!A:D,4,FALSE)</f>
        <v>6</v>
      </c>
      <c r="D64" s="14" t="str">
        <f>VLOOKUP(A:A,Student_Analysis_Ready!A:F,6,FALSE)</f>
        <v>MTSS Tier 3</v>
      </c>
      <c r="E64" s="14" t="str">
        <f>VLOOKUP(A:A,Student_Analysis_Ready!A:E,5,FALSE)</f>
        <v>Active</v>
      </c>
      <c r="F64" s="14">
        <f>IFERROR(VLOOKUP(A:A,Attendence_Analysis_Ready!A:F,6,FALSE),"0")</f>
        <v>76.3</v>
      </c>
      <c r="G64" s="14" t="str">
        <f>IFERROR(VLOOKUP(A:A,Assessment_Analysis_Ready!A:C,3,FALSE),"Not Available")</f>
        <v>Science</v>
      </c>
      <c r="H64" s="16">
        <f>IFERROR(VLOOKUP(A:A,Assessment_Analysis_Ready!A:D,4,FALSE),"Not Available")</f>
        <v>46052</v>
      </c>
      <c r="I64" s="14">
        <f>IFERROR(VLOOKUP(A:A,Assessment_Analysis_Ready!A:E,5,FALSE),"Not Available")</f>
        <v>100</v>
      </c>
      <c r="J64" s="14" t="str">
        <f>IFERROR(VLOOKUP(A:A,Assessment_Analysis_Ready!A:F,6,FALSE),"Not Available")</f>
        <v>Met</v>
      </c>
      <c r="K64" s="14">
        <f>IFERROR(VLOOKUP(A:A,Discipline_Analysis_Ready!A:C,3,FALSE),"Not Available")</f>
        <v>2</v>
      </c>
      <c r="L64" s="14">
        <f>IFERROR(VLOOKUP(A:A,Discipline_Analysis_Ready!A:D,4,FALSE),"Not Available")</f>
        <v>0</v>
      </c>
    </row>
    <row r="65" spans="1:12" x14ac:dyDescent="0.25">
      <c r="A65" s="15" t="s">
        <v>194</v>
      </c>
      <c r="B65" s="15" t="str">
        <f>VLOOKUP(A:A,Student_Analysis_Ready!A:H,8,FALSE)</f>
        <v>Lucas Brown</v>
      </c>
      <c r="C65" s="14">
        <f>VLOOKUP(A65,Student_Analysis_Ready!A:D,4,FALSE)</f>
        <v>7</v>
      </c>
      <c r="D65" s="14" t="str">
        <f>VLOOKUP(A:A,Student_Analysis_Ready!A:F,6,FALSE)</f>
        <v>MTSS Tier 3</v>
      </c>
      <c r="E65" s="14" t="str">
        <f>VLOOKUP(A:A,Student_Analysis_Ready!A:E,5,FALSE)</f>
        <v>Active</v>
      </c>
      <c r="F65" s="14">
        <f>IFERROR(VLOOKUP(A:A,Attendence_Analysis_Ready!A:F,6,FALSE),"0")</f>
        <v>93.6</v>
      </c>
      <c r="G65" s="14" t="str">
        <f>IFERROR(VLOOKUP(A:A,Assessment_Analysis_Ready!A:C,3,FALSE),"Not Available")</f>
        <v>Science</v>
      </c>
      <c r="H65" s="16">
        <f>IFERROR(VLOOKUP(A:A,Assessment_Analysis_Ready!A:D,4,FALSE),"Not Available")</f>
        <v>46076</v>
      </c>
      <c r="I65" s="14">
        <f>IFERROR(VLOOKUP(A:A,Assessment_Analysis_Ready!A:E,5,FALSE),"Not Available")</f>
        <v>61</v>
      </c>
      <c r="J65" s="14" t="str">
        <f>IFERROR(VLOOKUP(A:A,Assessment_Analysis_Ready!A:F,6,FALSE),"Not Available")</f>
        <v>Below</v>
      </c>
      <c r="K65" s="14">
        <f>IFERROR(VLOOKUP(A:A,Discipline_Analysis_Ready!A:C,3,FALSE),"Not Available")</f>
        <v>0</v>
      </c>
      <c r="L65" s="14">
        <f>IFERROR(VLOOKUP(A:A,Discipline_Analysis_Ready!A:D,4,FALSE),"Not Available")</f>
        <v>0</v>
      </c>
    </row>
    <row r="66" spans="1:12" x14ac:dyDescent="0.25">
      <c r="A66" s="15" t="s">
        <v>195</v>
      </c>
      <c r="B66" s="15" t="str">
        <f>VLOOKUP(A:A,Student_Analysis_Ready!A:H,8,FALSE)</f>
        <v>Leo Anderson</v>
      </c>
      <c r="C66" s="14">
        <f>VLOOKUP(A66,Student_Analysis_Ready!A:D,4,FALSE)</f>
        <v>8</v>
      </c>
      <c r="D66" s="14" t="str">
        <f>VLOOKUP(A:A,Student_Analysis_Ready!A:F,6,FALSE)</f>
        <v>Core</v>
      </c>
      <c r="E66" s="14" t="str">
        <f>VLOOKUP(A:A,Student_Analysis_Ready!A:E,5,FALSE)</f>
        <v>Withdrawn</v>
      </c>
      <c r="F66" s="14">
        <f>IFERROR(VLOOKUP(A:A,Attendence_Analysis_Ready!A:F,6,FALSE),"0")</f>
        <v>97.6</v>
      </c>
      <c r="G66" s="14" t="str">
        <f>IFERROR(VLOOKUP(A:A,Assessment_Analysis_Ready!A:C,3,FALSE),"Not Available")</f>
        <v>Science</v>
      </c>
      <c r="H66" s="16">
        <f>IFERROR(VLOOKUP(A:A,Assessment_Analysis_Ready!A:D,4,FALSE),"Not Available")</f>
        <v>46055</v>
      </c>
      <c r="I66" s="14">
        <f>IFERROR(VLOOKUP(A:A,Assessment_Analysis_Ready!A:E,5,FALSE),"Not Available")</f>
        <v>60</v>
      </c>
      <c r="J66" s="14" t="str">
        <f>IFERROR(VLOOKUP(A:A,Assessment_Analysis_Ready!A:F,6,FALSE),"Not Available")</f>
        <v>Below</v>
      </c>
      <c r="K66" s="14">
        <f>IFERROR(VLOOKUP(A:A,Discipline_Analysis_Ready!A:C,3,FALSE),"Not Available")</f>
        <v>0</v>
      </c>
      <c r="L66" s="14">
        <f>IFERROR(VLOOKUP(A:A,Discipline_Analysis_Ready!A:D,4,FALSE),"Not Available")</f>
        <v>0</v>
      </c>
    </row>
    <row r="67" spans="1:12" x14ac:dyDescent="0.25">
      <c r="A67" s="15" t="s">
        <v>196</v>
      </c>
      <c r="B67" s="15" t="str">
        <f>VLOOKUP(A:A,Student_Analysis_Ready!A:H,8,FALSE)</f>
        <v>Amelia Brown</v>
      </c>
      <c r="C67" s="14">
        <f>VLOOKUP(A67,Student_Analysis_Ready!A:D,4,FALSE)</f>
        <v>5</v>
      </c>
      <c r="D67" s="14" t="str">
        <f>VLOOKUP(A:A,Student_Analysis_Ready!A:F,6,FALSE)</f>
        <v>MTSS Tier 1</v>
      </c>
      <c r="E67" s="14" t="str">
        <f>VLOOKUP(A:A,Student_Analysis_Ready!A:E,5,FALSE)</f>
        <v>Active</v>
      </c>
      <c r="F67" s="14">
        <f>IFERROR(VLOOKUP(A:A,Attendence_Analysis_Ready!A:F,6,FALSE),"0")</f>
        <v>83.8</v>
      </c>
      <c r="G67" s="14" t="str">
        <f>IFERROR(VLOOKUP(A:A,Assessment_Analysis_Ready!A:C,3,FALSE),"Not Available")</f>
        <v>ELA</v>
      </c>
      <c r="H67" s="16">
        <f>IFERROR(VLOOKUP(A:A,Assessment_Analysis_Ready!A:D,4,FALSE),"Not Available")</f>
        <v>46054</v>
      </c>
      <c r="I67" s="14">
        <f>IFERROR(VLOOKUP(A:A,Assessment_Analysis_Ready!A:E,5,FALSE),"Not Available")</f>
        <v>96</v>
      </c>
      <c r="J67" s="14" t="str">
        <f>IFERROR(VLOOKUP(A:A,Assessment_Analysis_Ready!A:F,6,FALSE),"Not Available")</f>
        <v>Met</v>
      </c>
      <c r="K67" s="14">
        <f>IFERROR(VLOOKUP(A:A,Discipline_Analysis_Ready!A:C,3,FALSE),"Not Available")</f>
        <v>3</v>
      </c>
      <c r="L67" s="14">
        <f>IFERROR(VLOOKUP(A:A,Discipline_Analysis_Ready!A:D,4,FALSE),"Not Available")</f>
        <v>0</v>
      </c>
    </row>
    <row r="68" spans="1:12" x14ac:dyDescent="0.25">
      <c r="A68" s="15" t="s">
        <v>198</v>
      </c>
      <c r="B68" s="15" t="str">
        <f>VLOOKUP(A:A,Student_Analysis_Ready!A:H,8,FALSE)</f>
        <v>Jack Smith</v>
      </c>
      <c r="C68" s="14">
        <f>VLOOKUP(A68,Student_Analysis_Ready!A:D,4,FALSE)</f>
        <v>5</v>
      </c>
      <c r="D68" s="14" t="str">
        <f>VLOOKUP(A:A,Student_Analysis_Ready!A:F,6,FALSE)</f>
        <v>Core</v>
      </c>
      <c r="E68" s="14" t="str">
        <f>VLOOKUP(A:A,Student_Analysis_Ready!A:E,5,FALSE)</f>
        <v>Active</v>
      </c>
      <c r="F68" s="14">
        <f>IFERROR(VLOOKUP(A:A,Attendence_Analysis_Ready!A:F,6,FALSE),"0")</f>
        <v>93.8</v>
      </c>
      <c r="G68" s="14" t="str">
        <f>IFERROR(VLOOKUP(A:A,Assessment_Analysis_Ready!A:C,3,FALSE),"Not Available")</f>
        <v>Science</v>
      </c>
      <c r="H68" s="16">
        <f>IFERROR(VLOOKUP(A:A,Assessment_Analysis_Ready!A:D,4,FALSE),"Not Available")</f>
        <v>46037</v>
      </c>
      <c r="I68" s="14">
        <f>IFERROR(VLOOKUP(A:A,Assessment_Analysis_Ready!A:E,5,FALSE),"Not Available")</f>
        <v>68</v>
      </c>
      <c r="J68" s="14" t="str">
        <f>IFERROR(VLOOKUP(A:A,Assessment_Analysis_Ready!A:F,6,FALSE),"Not Available")</f>
        <v>Below</v>
      </c>
      <c r="K68" s="14">
        <f>IFERROR(VLOOKUP(A:A,Discipline_Analysis_Ready!A:C,3,FALSE),"Not Available")</f>
        <v>2</v>
      </c>
      <c r="L68" s="14">
        <f>IFERROR(VLOOKUP(A:A,Discipline_Analysis_Ready!A:D,4,FALSE),"Not Available")</f>
        <v>0</v>
      </c>
    </row>
    <row r="69" spans="1:12" x14ac:dyDescent="0.25">
      <c r="A69" s="15" t="s">
        <v>199</v>
      </c>
      <c r="B69" s="15" t="str">
        <f>VLOOKUP(A:A,Student_Analysis_Ready!A:H,8,FALSE)</f>
        <v>Charlotte Smith</v>
      </c>
      <c r="C69" s="14">
        <f>VLOOKUP(A69,Student_Analysis_Ready!A:D,4,FALSE)</f>
        <v>8</v>
      </c>
      <c r="D69" s="14" t="str">
        <f>VLOOKUP(A:A,Student_Analysis_Ready!A:F,6,FALSE)</f>
        <v>MTSS Tier 1</v>
      </c>
      <c r="E69" s="14" t="str">
        <f>VLOOKUP(A:A,Student_Analysis_Ready!A:E,5,FALSE)</f>
        <v>Active</v>
      </c>
      <c r="F69" s="14">
        <f>IFERROR(VLOOKUP(A:A,Attendence_Analysis_Ready!A:F,6,FALSE),"0")</f>
        <v>93.7</v>
      </c>
      <c r="G69" s="14" t="str">
        <f>IFERROR(VLOOKUP(A:A,Assessment_Analysis_Ready!A:C,3,FALSE),"Not Available")</f>
        <v>Science</v>
      </c>
      <c r="H69" s="16">
        <f>IFERROR(VLOOKUP(A:A,Assessment_Analysis_Ready!A:D,4,FALSE),"Not Available")</f>
        <v>46114</v>
      </c>
      <c r="I69" s="14">
        <f>IFERROR(VLOOKUP(A:A,Assessment_Analysis_Ready!A:E,5,FALSE),"Not Available")</f>
        <v>65</v>
      </c>
      <c r="J69" s="14" t="str">
        <f>IFERROR(VLOOKUP(A:A,Assessment_Analysis_Ready!A:F,6,FALSE),"Not Available")</f>
        <v>Below</v>
      </c>
      <c r="K69" s="14">
        <f>IFERROR(VLOOKUP(A:A,Discipline_Analysis_Ready!A:C,3,FALSE),"Not Available")</f>
        <v>0</v>
      </c>
      <c r="L69" s="14">
        <f>IFERROR(VLOOKUP(A:A,Discipline_Analysis_Ready!A:D,4,FALSE),"Not Available")</f>
        <v>0</v>
      </c>
    </row>
    <row r="70" spans="1:12" x14ac:dyDescent="0.25">
      <c r="A70" s="15" t="s">
        <v>200</v>
      </c>
      <c r="B70" s="15" t="str">
        <f>VLOOKUP(A:A,Student_Analysis_Ready!A:H,8,FALSE)</f>
        <v>Amelia Thomas</v>
      </c>
      <c r="C70" s="14">
        <f>VLOOKUP(A70,Student_Analysis_Ready!A:D,4,FALSE)</f>
        <v>5</v>
      </c>
      <c r="D70" s="14" t="str">
        <f>VLOOKUP(A:A,Student_Analysis_Ready!A:F,6,FALSE)</f>
        <v>MTSS Tier 3</v>
      </c>
      <c r="E70" s="14" t="str">
        <f>VLOOKUP(A:A,Student_Analysis_Ready!A:E,5,FALSE)</f>
        <v>Active</v>
      </c>
      <c r="F70" s="14">
        <f>IFERROR(VLOOKUP(A:A,Attendence_Analysis_Ready!A:F,6,FALSE),"0")</f>
        <v>99</v>
      </c>
      <c r="G70" s="14" t="str">
        <f>IFERROR(VLOOKUP(A:A,Assessment_Analysis_Ready!A:C,3,FALSE),"Not Available")</f>
        <v>Math</v>
      </c>
      <c r="H70" s="16">
        <f>IFERROR(VLOOKUP(A:A,Assessment_Analysis_Ready!A:D,4,FALSE),"Not Available")</f>
        <v>46083</v>
      </c>
      <c r="I70" s="14">
        <f>IFERROR(VLOOKUP(A:A,Assessment_Analysis_Ready!A:E,5,FALSE),"Not Available")</f>
        <v>100</v>
      </c>
      <c r="J70" s="14" t="str">
        <f>IFERROR(VLOOKUP(A:A,Assessment_Analysis_Ready!A:F,6,FALSE),"Not Available")</f>
        <v>Met</v>
      </c>
      <c r="K70" s="14">
        <f>IFERROR(VLOOKUP(A:A,Discipline_Analysis_Ready!A:C,3,FALSE),"Not Available")</f>
        <v>2</v>
      </c>
      <c r="L70" s="14">
        <f>IFERROR(VLOOKUP(A:A,Discipline_Analysis_Ready!A:D,4,FALSE),"Not Available")</f>
        <v>0</v>
      </c>
    </row>
    <row r="71" spans="1:12" x14ac:dyDescent="0.25">
      <c r="A71" s="15" t="s">
        <v>201</v>
      </c>
      <c r="B71" s="15" t="str">
        <f>VLOOKUP(A:A,Student_Analysis_Ready!A:H,8,FALSE)</f>
        <v>Sophia Patel</v>
      </c>
      <c r="C71" s="14">
        <f>VLOOKUP(A71,Student_Analysis_Ready!A:D,4,FALSE)</f>
        <v>8</v>
      </c>
      <c r="D71" s="14" t="str">
        <f>VLOOKUP(A:A,Student_Analysis_Ready!A:F,6,FALSE)</f>
        <v>MTSS Tier 1</v>
      </c>
      <c r="E71" s="14" t="str">
        <f>VLOOKUP(A:A,Student_Analysis_Ready!A:E,5,FALSE)</f>
        <v>Active</v>
      </c>
      <c r="F71" s="14">
        <f>IFERROR(VLOOKUP(A:A,Attendence_Analysis_Ready!A:F,6,FALSE),"0")</f>
        <v>93.3</v>
      </c>
      <c r="G71" s="14" t="str">
        <f>IFERROR(VLOOKUP(A:A,Assessment_Analysis_Ready!A:C,3,FALSE),"Not Available")</f>
        <v>Science</v>
      </c>
      <c r="H71" s="16">
        <f>IFERROR(VLOOKUP(A:A,Assessment_Analysis_Ready!A:D,4,FALSE),"Not Available")</f>
        <v>46102</v>
      </c>
      <c r="I71" s="14">
        <f>IFERROR(VLOOKUP(A:A,Assessment_Analysis_Ready!A:E,5,FALSE),"Not Available")</f>
        <v>88</v>
      </c>
      <c r="J71" s="14" t="str">
        <f>IFERROR(VLOOKUP(A:A,Assessment_Analysis_Ready!A:F,6,FALSE),"Not Available")</f>
        <v>Met</v>
      </c>
      <c r="K71" s="14">
        <f>IFERROR(VLOOKUP(A:A,Discipline_Analysis_Ready!A:C,3,FALSE),"Not Available")</f>
        <v>0</v>
      </c>
      <c r="L71" s="14">
        <f>IFERROR(VLOOKUP(A:A,Discipline_Analysis_Ready!A:D,4,FALSE),"Not Available")</f>
        <v>0</v>
      </c>
    </row>
    <row r="72" spans="1:12" x14ac:dyDescent="0.25">
      <c r="A72" s="15" t="s">
        <v>202</v>
      </c>
      <c r="B72" s="15" t="str">
        <f>VLOOKUP(A:A,Student_Analysis_Ready!A:H,8,FALSE)</f>
        <v>Charlotte Wilson</v>
      </c>
      <c r="C72" s="14">
        <f>VLOOKUP(A72,Student_Analysis_Ready!A:D,4,FALSE)</f>
        <v>5</v>
      </c>
      <c r="D72" s="14" t="str">
        <f>VLOOKUP(A:A,Student_Analysis_Ready!A:F,6,FALSE)</f>
        <v>MTSS Tier 2</v>
      </c>
      <c r="E72" s="14" t="str">
        <f>VLOOKUP(A:A,Student_Analysis_Ready!A:E,5,FALSE)</f>
        <v>Active</v>
      </c>
      <c r="F72" s="14">
        <f>IFERROR(VLOOKUP(A:A,Attendence_Analysis_Ready!A:F,6,FALSE),"0")</f>
        <v>94</v>
      </c>
      <c r="G72" s="14" t="str">
        <f>IFERROR(VLOOKUP(A:A,Assessment_Analysis_Ready!A:C,3,FALSE),"Not Available")</f>
        <v>ELA</v>
      </c>
      <c r="H72" s="16">
        <f>IFERROR(VLOOKUP(A:A,Assessment_Analysis_Ready!A:D,4,FALSE),"Not Available")</f>
        <v>46074</v>
      </c>
      <c r="I72" s="14">
        <f>IFERROR(VLOOKUP(A:A,Assessment_Analysis_Ready!A:E,5,FALSE),"Not Available")</f>
        <v>69</v>
      </c>
      <c r="J72" s="14" t="str">
        <f>IFERROR(VLOOKUP(A:A,Assessment_Analysis_Ready!A:F,6,FALSE),"Not Available")</f>
        <v>Below</v>
      </c>
      <c r="K72" s="14">
        <f>IFERROR(VLOOKUP(A:A,Discipline_Analysis_Ready!A:C,3,FALSE),"Not Available")</f>
        <v>0</v>
      </c>
      <c r="L72" s="14">
        <f>IFERROR(VLOOKUP(A:A,Discipline_Analysis_Ready!A:D,4,FALSE),"Not Available")</f>
        <v>0</v>
      </c>
    </row>
    <row r="73" spans="1:12" x14ac:dyDescent="0.25">
      <c r="A73" s="15" t="s">
        <v>203</v>
      </c>
      <c r="B73" s="15" t="str">
        <f>VLOOKUP(A:A,Student_Analysis_Ready!A:H,8,FALSE)</f>
        <v>Amelia Lee</v>
      </c>
      <c r="C73" s="14">
        <f>VLOOKUP(A73,Student_Analysis_Ready!A:D,4,FALSE)</f>
        <v>6</v>
      </c>
      <c r="D73" s="14" t="str">
        <f>VLOOKUP(A:A,Student_Analysis_Ready!A:F,6,FALSE)</f>
        <v>MTSS Tier 2</v>
      </c>
      <c r="E73" s="14" t="str">
        <f>VLOOKUP(A:A,Student_Analysis_Ready!A:E,5,FALSE)</f>
        <v>Active</v>
      </c>
      <c r="F73" s="14">
        <f>IFERROR(VLOOKUP(A:A,Attendence_Analysis_Ready!A:F,6,FALSE),"0")</f>
        <v>99.4</v>
      </c>
      <c r="G73" s="14" t="str">
        <f>IFERROR(VLOOKUP(A:A,Assessment_Analysis_Ready!A:C,3,FALSE),"Not Available")</f>
        <v>ELA</v>
      </c>
      <c r="H73" s="16">
        <f>IFERROR(VLOOKUP(A:A,Assessment_Analysis_Ready!A:D,4,FALSE),"Not Available")</f>
        <v>46087</v>
      </c>
      <c r="I73" s="14">
        <f>IFERROR(VLOOKUP(A:A,Assessment_Analysis_Ready!A:E,5,FALSE),"Not Available")</f>
        <v>79</v>
      </c>
      <c r="J73" s="14" t="str">
        <f>IFERROR(VLOOKUP(A:A,Assessment_Analysis_Ready!A:F,6,FALSE),"Not Available")</f>
        <v>Met</v>
      </c>
      <c r="K73" s="14">
        <f>IFERROR(VLOOKUP(A:A,Discipline_Analysis_Ready!A:C,3,FALSE),"Not Available")</f>
        <v>0</v>
      </c>
      <c r="L73" s="14">
        <f>IFERROR(VLOOKUP(A:A,Discipline_Analysis_Ready!A:D,4,FALSE),"Not Available")</f>
        <v>0</v>
      </c>
    </row>
    <row r="74" spans="1:12" x14ac:dyDescent="0.25">
      <c r="A74" s="15" t="s">
        <v>204</v>
      </c>
      <c r="B74" s="15" t="str">
        <f>VLOOKUP(A:A,Student_Analysis_Ready!A:H,8,FALSE)</f>
        <v>Ava Brown</v>
      </c>
      <c r="C74" s="14">
        <f>VLOOKUP(A74,Student_Analysis_Ready!A:D,4,FALSE)</f>
        <v>5</v>
      </c>
      <c r="D74" s="14" t="str">
        <f>VLOOKUP(A:A,Student_Analysis_Ready!A:F,6,FALSE)</f>
        <v>MTSS Tier 2</v>
      </c>
      <c r="E74" s="14" t="str">
        <f>VLOOKUP(A:A,Student_Analysis_Ready!A:E,5,FALSE)</f>
        <v>Active</v>
      </c>
      <c r="F74" s="14">
        <f>IFERROR(VLOOKUP(A:A,Attendence_Analysis_Ready!A:F,6,FALSE),"0")</f>
        <v>88.6</v>
      </c>
      <c r="G74" s="14" t="str">
        <f>IFERROR(VLOOKUP(A:A,Assessment_Analysis_Ready!A:C,3,FALSE),"Not Available")</f>
        <v>ELA</v>
      </c>
      <c r="H74" s="16">
        <f>IFERROR(VLOOKUP(A:A,Assessment_Analysis_Ready!A:D,4,FALSE),"Not Available")</f>
        <v>46099</v>
      </c>
      <c r="I74" s="14">
        <f>IFERROR(VLOOKUP(A:A,Assessment_Analysis_Ready!A:E,5,FALSE),"Not Available")</f>
        <v>99</v>
      </c>
      <c r="J74" s="14" t="str">
        <f>IFERROR(VLOOKUP(A:A,Assessment_Analysis_Ready!A:F,6,FALSE),"Not Available")</f>
        <v>Met</v>
      </c>
      <c r="K74" s="14">
        <f>IFERROR(VLOOKUP(A:A,Discipline_Analysis_Ready!A:C,3,FALSE),"Not Available")</f>
        <v>2</v>
      </c>
      <c r="L74" s="14">
        <f>IFERROR(VLOOKUP(A:A,Discipline_Analysis_Ready!A:D,4,FALSE),"Not Available")</f>
        <v>0</v>
      </c>
    </row>
    <row r="75" spans="1:12" x14ac:dyDescent="0.25">
      <c r="A75" s="15" t="s">
        <v>205</v>
      </c>
      <c r="B75" s="15" t="str">
        <f>VLOOKUP(A:A,Student_Analysis_Ready!A:H,8,FALSE)</f>
        <v>Olivia Brown</v>
      </c>
      <c r="C75" s="14">
        <f>VLOOKUP(A75,Student_Analysis_Ready!A:D,4,FALSE)</f>
        <v>8</v>
      </c>
      <c r="D75" s="14" t="str">
        <f>VLOOKUP(A:A,Student_Analysis_Ready!A:F,6,FALSE)</f>
        <v>Core</v>
      </c>
      <c r="E75" s="14" t="str">
        <f>VLOOKUP(A:A,Student_Analysis_Ready!A:E,5,FALSE)</f>
        <v>Active</v>
      </c>
      <c r="F75" s="14">
        <f>IFERROR(VLOOKUP(A:A,Attendence_Analysis_Ready!A:F,6,FALSE),"0")</f>
        <v>100</v>
      </c>
      <c r="G75" s="14" t="str">
        <f>IFERROR(VLOOKUP(A:A,Assessment_Analysis_Ready!A:C,3,FALSE),"Not Available")</f>
        <v>ELA</v>
      </c>
      <c r="H75" s="16">
        <f>IFERROR(VLOOKUP(A:A,Assessment_Analysis_Ready!A:D,4,FALSE),"Not Available")</f>
        <v>46040</v>
      </c>
      <c r="I75" s="14">
        <f>IFERROR(VLOOKUP(A:A,Assessment_Analysis_Ready!A:E,5,FALSE),"Not Available")</f>
        <v>84</v>
      </c>
      <c r="J75" s="14" t="str">
        <f>IFERROR(VLOOKUP(A:A,Assessment_Analysis_Ready!A:F,6,FALSE),"Not Available")</f>
        <v>Met</v>
      </c>
      <c r="K75" s="14">
        <f>IFERROR(VLOOKUP(A:A,Discipline_Analysis_Ready!A:C,3,FALSE),"Not Available")</f>
        <v>3</v>
      </c>
      <c r="L75" s="14">
        <f>IFERROR(VLOOKUP(A:A,Discipline_Analysis_Ready!A:D,4,FALSE),"Not Available")</f>
        <v>0</v>
      </c>
    </row>
    <row r="76" spans="1:12" x14ac:dyDescent="0.25">
      <c r="A76" s="15" t="s">
        <v>206</v>
      </c>
      <c r="B76" s="15" t="str">
        <f>VLOOKUP(A:A,Student_Analysis_Ready!A:H,8,FALSE)</f>
        <v>Sophia Garcia</v>
      </c>
      <c r="C76" s="14">
        <f>VLOOKUP(A76,Student_Analysis_Ready!A:D,4,FALSE)</f>
        <v>8</v>
      </c>
      <c r="D76" s="14" t="str">
        <f>VLOOKUP(A:A,Student_Analysis_Ready!A:F,6,FALSE)</f>
        <v>Core</v>
      </c>
      <c r="E76" s="14" t="str">
        <f>VLOOKUP(A:A,Student_Analysis_Ready!A:E,5,FALSE)</f>
        <v>Active</v>
      </c>
      <c r="F76" s="14">
        <f>IFERROR(VLOOKUP(A:A,Attendence_Analysis_Ready!A:F,6,FALSE),"0")</f>
        <v>95.6</v>
      </c>
      <c r="G76" s="14" t="str">
        <f>IFERROR(VLOOKUP(A:A,Assessment_Analysis_Ready!A:C,3,FALSE),"Not Available")</f>
        <v>Science</v>
      </c>
      <c r="H76" s="16">
        <f>IFERROR(VLOOKUP(A:A,Assessment_Analysis_Ready!A:D,4,FALSE),"Not Available")</f>
        <v>46037</v>
      </c>
      <c r="I76" s="14">
        <f>IFERROR(VLOOKUP(A:A,Assessment_Analysis_Ready!A:E,5,FALSE),"Not Available")</f>
        <v>91</v>
      </c>
      <c r="J76" s="14" t="str">
        <f>IFERROR(VLOOKUP(A:A,Assessment_Analysis_Ready!A:F,6,FALSE),"Not Available")</f>
        <v>Met</v>
      </c>
      <c r="K76" s="14">
        <f>IFERROR(VLOOKUP(A:A,Discipline_Analysis_Ready!A:C,3,FALSE),"Not Available")</f>
        <v>2</v>
      </c>
      <c r="L76" s="14">
        <f>IFERROR(VLOOKUP(A:A,Discipline_Analysis_Ready!A:D,4,FALSE),"Not Available")</f>
        <v>0</v>
      </c>
    </row>
    <row r="77" spans="1:12" x14ac:dyDescent="0.25">
      <c r="A77" s="15" t="s">
        <v>207</v>
      </c>
      <c r="B77" s="15" t="str">
        <f>VLOOKUP(A:A,Student_Analysis_Ready!A:H,8,FALSE)</f>
        <v>Ava Smith</v>
      </c>
      <c r="C77" s="14">
        <f>VLOOKUP(A77,Student_Analysis_Ready!A:D,4,FALSE)</f>
        <v>8</v>
      </c>
      <c r="D77" s="14" t="str">
        <f>VLOOKUP(A:A,Student_Analysis_Ready!A:F,6,FALSE)</f>
        <v>Core</v>
      </c>
      <c r="E77" s="14" t="str">
        <f>VLOOKUP(A:A,Student_Analysis_Ready!A:E,5,FALSE)</f>
        <v>Active</v>
      </c>
      <c r="F77" s="14">
        <f>IFERROR(VLOOKUP(A:A,Attendence_Analysis_Ready!A:F,6,FALSE),"0")</f>
        <v>93</v>
      </c>
      <c r="G77" s="14" t="str">
        <f>IFERROR(VLOOKUP(A:A,Assessment_Analysis_Ready!A:C,3,FALSE),"Not Available")</f>
        <v>Science</v>
      </c>
      <c r="H77" s="16">
        <f>IFERROR(VLOOKUP(A:A,Assessment_Analysis_Ready!A:D,4,FALSE),"Not Available")</f>
        <v>46044</v>
      </c>
      <c r="I77" s="14">
        <f>IFERROR(VLOOKUP(A:A,Assessment_Analysis_Ready!A:E,5,FALSE),"Not Available")</f>
        <v>86</v>
      </c>
      <c r="J77" s="14" t="str">
        <f>IFERROR(VLOOKUP(A:A,Assessment_Analysis_Ready!A:F,6,FALSE),"Not Available")</f>
        <v>Met</v>
      </c>
      <c r="K77" s="14">
        <f>IFERROR(VLOOKUP(A:A,Discipline_Analysis_Ready!A:C,3,FALSE),"Not Available")</f>
        <v>0</v>
      </c>
      <c r="L77" s="14">
        <f>IFERROR(VLOOKUP(A:A,Discipline_Analysis_Ready!A:D,4,FALSE),"Not Available")</f>
        <v>0</v>
      </c>
    </row>
    <row r="78" spans="1:12" x14ac:dyDescent="0.25">
      <c r="A78" s="15" t="s">
        <v>208</v>
      </c>
      <c r="B78" s="15" t="str">
        <f>VLOOKUP(A:A,Student_Analysis_Ready!A:H,8,FALSE)</f>
        <v>James Lee</v>
      </c>
      <c r="C78" s="14">
        <f>VLOOKUP(A78,Student_Analysis_Ready!A:D,4,FALSE)</f>
        <v>8</v>
      </c>
      <c r="D78" s="14" t="str">
        <f>VLOOKUP(A:A,Student_Analysis_Ready!A:F,6,FALSE)</f>
        <v>MTSS Tier 2</v>
      </c>
      <c r="E78" s="14" t="str">
        <f>VLOOKUP(A:A,Student_Analysis_Ready!A:E,5,FALSE)</f>
        <v>Active</v>
      </c>
      <c r="F78" s="14">
        <f>IFERROR(VLOOKUP(A:A,Attendence_Analysis_Ready!A:F,6,FALSE),"0")</f>
        <v>84.5</v>
      </c>
      <c r="G78" s="14" t="str">
        <f>IFERROR(VLOOKUP(A:A,Assessment_Analysis_Ready!A:C,3,FALSE),"Not Available")</f>
        <v>ELA</v>
      </c>
      <c r="H78" s="16">
        <f>IFERROR(VLOOKUP(A:A,Assessment_Analysis_Ready!A:D,4,FALSE),"Not Available")</f>
        <v>46065</v>
      </c>
      <c r="I78" s="14">
        <f>IFERROR(VLOOKUP(A:A,Assessment_Analysis_Ready!A:E,5,FALSE),"Not Available")</f>
        <v>87</v>
      </c>
      <c r="J78" s="14" t="str">
        <f>IFERROR(VLOOKUP(A:A,Assessment_Analysis_Ready!A:F,6,FALSE),"Not Available")</f>
        <v>Met</v>
      </c>
      <c r="K78" s="14">
        <f>IFERROR(VLOOKUP(A:A,Discipline_Analysis_Ready!A:C,3,FALSE),"Not Available")</f>
        <v>2</v>
      </c>
      <c r="L78" s="14">
        <f>IFERROR(VLOOKUP(A:A,Discipline_Analysis_Ready!A:D,4,FALSE),"Not Available")</f>
        <v>0</v>
      </c>
    </row>
    <row r="79" spans="1:12" x14ac:dyDescent="0.25">
      <c r="A79" s="15" t="s">
        <v>209</v>
      </c>
      <c r="B79" s="15" t="str">
        <f>VLOOKUP(A:A,Student_Analysis_Ready!A:H,8,FALSE)</f>
        <v>Lucas Thomas</v>
      </c>
      <c r="C79" s="14">
        <f>VLOOKUP(A79,Student_Analysis_Ready!A:D,4,FALSE)</f>
        <v>8</v>
      </c>
      <c r="D79" s="14" t="str">
        <f>VLOOKUP(A:A,Student_Analysis_Ready!A:F,6,FALSE)</f>
        <v>Core</v>
      </c>
      <c r="E79" s="14" t="str">
        <f>VLOOKUP(A:A,Student_Analysis_Ready!A:E,5,FALSE)</f>
        <v>Active</v>
      </c>
      <c r="F79" s="14">
        <f>IFERROR(VLOOKUP(A:A,Attendence_Analysis_Ready!A:F,6,FALSE),"0")</f>
        <v>94.6</v>
      </c>
      <c r="G79" s="14" t="str">
        <f>IFERROR(VLOOKUP(A:A,Assessment_Analysis_Ready!A:C,3,FALSE),"Not Available")</f>
        <v>ELA</v>
      </c>
      <c r="H79" s="16">
        <f>IFERROR(VLOOKUP(A:A,Assessment_Analysis_Ready!A:D,4,FALSE),"Not Available")</f>
        <v>46091</v>
      </c>
      <c r="I79" s="14">
        <f>IFERROR(VLOOKUP(A:A,Assessment_Analysis_Ready!A:E,5,FALSE),"Not Available")</f>
        <v>76</v>
      </c>
      <c r="J79" s="14" t="str">
        <f>IFERROR(VLOOKUP(A:A,Assessment_Analysis_Ready!A:F,6,FALSE),"Not Available")</f>
        <v>Met</v>
      </c>
      <c r="K79" s="14">
        <f>IFERROR(VLOOKUP(A:A,Discipline_Analysis_Ready!A:C,3,FALSE),"Not Available")</f>
        <v>5</v>
      </c>
      <c r="L79" s="14">
        <f>IFERROR(VLOOKUP(A:A,Discipline_Analysis_Ready!A:D,4,FALSE),"Not Available")</f>
        <v>1</v>
      </c>
    </row>
    <row r="80" spans="1:12" x14ac:dyDescent="0.25">
      <c r="A80" s="15" t="s">
        <v>210</v>
      </c>
      <c r="B80" s="15" t="str">
        <f>VLOOKUP(A:A,Student_Analysis_Ready!A:H,8,FALSE)</f>
        <v>Isabella Taylor</v>
      </c>
      <c r="C80" s="14">
        <f>VLOOKUP(A80,Student_Analysis_Ready!A:D,4,FALSE)</f>
        <v>7</v>
      </c>
      <c r="D80" s="14" t="str">
        <f>VLOOKUP(A:A,Student_Analysis_Ready!A:F,6,FALSE)</f>
        <v>Core</v>
      </c>
      <c r="E80" s="14" t="str">
        <f>VLOOKUP(A:A,Student_Analysis_Ready!A:E,5,FALSE)</f>
        <v>Active</v>
      </c>
      <c r="F80" s="14">
        <f>IFERROR(VLOOKUP(A:A,Attendence_Analysis_Ready!A:F,6,FALSE),"0")</f>
        <v>93.1</v>
      </c>
      <c r="G80" s="14" t="str">
        <f>IFERROR(VLOOKUP(A:A,Assessment_Analysis_Ready!A:C,3,FALSE),"Not Available")</f>
        <v>Science</v>
      </c>
      <c r="H80" s="16">
        <f>IFERROR(VLOOKUP(A:A,Assessment_Analysis_Ready!A:D,4,FALSE),"Not Available")</f>
        <v>46039</v>
      </c>
      <c r="I80" s="14">
        <f>IFERROR(VLOOKUP(A:A,Assessment_Analysis_Ready!A:E,5,FALSE),"Not Available")</f>
        <v>76</v>
      </c>
      <c r="J80" s="14" t="str">
        <f>IFERROR(VLOOKUP(A:A,Assessment_Analysis_Ready!A:F,6,FALSE),"Not Available")</f>
        <v>Met</v>
      </c>
      <c r="K80" s="14">
        <f>IFERROR(VLOOKUP(A:A,Discipline_Analysis_Ready!A:C,3,FALSE),"Not Available")</f>
        <v>1</v>
      </c>
      <c r="L80" s="14">
        <f>IFERROR(VLOOKUP(A:A,Discipline_Analysis_Ready!A:D,4,FALSE),"Not Available")</f>
        <v>0</v>
      </c>
    </row>
    <row r="81" spans="1:12" x14ac:dyDescent="0.25">
      <c r="A81" s="15" t="s">
        <v>211</v>
      </c>
      <c r="B81" s="15" t="str">
        <f>VLOOKUP(A:A,Student_Analysis_Ready!A:H,8,FALSE)</f>
        <v>Ella Patel</v>
      </c>
      <c r="C81" s="14">
        <f>VLOOKUP(A81,Student_Analysis_Ready!A:D,4,FALSE)</f>
        <v>7</v>
      </c>
      <c r="D81" s="14" t="str">
        <f>VLOOKUP(A:A,Student_Analysis_Ready!A:F,6,FALSE)</f>
        <v>Core</v>
      </c>
      <c r="E81" s="14" t="str">
        <f>VLOOKUP(A:A,Student_Analysis_Ready!A:E,5,FALSE)</f>
        <v>Active</v>
      </c>
      <c r="F81" s="14">
        <f>IFERROR(VLOOKUP(A:A,Attendence_Analysis_Ready!A:F,6,FALSE),"0")</f>
        <v>85.4</v>
      </c>
      <c r="G81" s="14" t="str">
        <f>IFERROR(VLOOKUP(A:A,Assessment_Analysis_Ready!A:C,3,FALSE),"Not Available")</f>
        <v>ELA</v>
      </c>
      <c r="H81" s="16">
        <f>IFERROR(VLOOKUP(A:A,Assessment_Analysis_Ready!A:D,4,FALSE),"Not Available")</f>
        <v>46068</v>
      </c>
      <c r="I81" s="14">
        <f>IFERROR(VLOOKUP(A:A,Assessment_Analysis_Ready!A:E,5,FALSE),"Not Available")</f>
        <v>79</v>
      </c>
      <c r="J81" s="14" t="str">
        <f>IFERROR(VLOOKUP(A:A,Assessment_Analysis_Ready!A:F,6,FALSE),"Not Available")</f>
        <v>Met</v>
      </c>
      <c r="K81" s="14">
        <f>IFERROR(VLOOKUP(A:A,Discipline_Analysis_Ready!A:C,3,FALSE),"Not Available")</f>
        <v>2</v>
      </c>
      <c r="L81" s="14">
        <f>IFERROR(VLOOKUP(A:A,Discipline_Analysis_Ready!A:D,4,FALSE),"Not Available")</f>
        <v>0</v>
      </c>
    </row>
    <row r="82" spans="1:12" x14ac:dyDescent="0.25">
      <c r="A82" s="15" t="s">
        <v>212</v>
      </c>
      <c r="B82" s="15" t="str">
        <f>VLOOKUP(A:A,Student_Analysis_Ready!A:H,8,FALSE)</f>
        <v>Harper Wilson</v>
      </c>
      <c r="C82" s="14">
        <f>VLOOKUP(A82,Student_Analysis_Ready!A:D,4,FALSE)</f>
        <v>5</v>
      </c>
      <c r="D82" s="14" t="str">
        <f>VLOOKUP(A:A,Student_Analysis_Ready!A:F,6,FALSE)</f>
        <v>MTSS Tier 1</v>
      </c>
      <c r="E82" s="14" t="str">
        <f>VLOOKUP(A:A,Student_Analysis_Ready!A:E,5,FALSE)</f>
        <v>Active</v>
      </c>
      <c r="F82" s="14">
        <f>IFERROR(VLOOKUP(A:A,Attendence_Analysis_Ready!A:F,6,FALSE),"0")</f>
        <v>75</v>
      </c>
      <c r="G82" s="14" t="str">
        <f>IFERROR(VLOOKUP(A:A,Assessment_Analysis_Ready!A:C,3,FALSE),"Not Available")</f>
        <v>Math</v>
      </c>
      <c r="H82" s="16">
        <f>IFERROR(VLOOKUP(A:A,Assessment_Analysis_Ready!A:D,4,FALSE),"Not Available")</f>
        <v>46046</v>
      </c>
      <c r="I82" s="14">
        <f>IFERROR(VLOOKUP(A:A,Assessment_Analysis_Ready!A:E,5,FALSE),"Not Available")</f>
        <v>85</v>
      </c>
      <c r="J82" s="14" t="str">
        <f>IFERROR(VLOOKUP(A:A,Assessment_Analysis_Ready!A:F,6,FALSE),"Not Available")</f>
        <v>Met</v>
      </c>
      <c r="K82" s="14">
        <f>IFERROR(VLOOKUP(A:A,Discipline_Analysis_Ready!A:C,3,FALSE),"Not Available")</f>
        <v>3</v>
      </c>
      <c r="L82" s="14">
        <f>IFERROR(VLOOKUP(A:A,Discipline_Analysis_Ready!A:D,4,FALSE),"Not Available")</f>
        <v>0</v>
      </c>
    </row>
    <row r="83" spans="1:12" x14ac:dyDescent="0.25">
      <c r="A83" s="15" t="s">
        <v>213</v>
      </c>
      <c r="B83" s="15" t="str">
        <f>VLOOKUP(A:A,Student_Analysis_Ready!A:H,8,FALSE)</f>
        <v>Lucas Johnson</v>
      </c>
      <c r="C83" s="14">
        <f>VLOOKUP(A83,Student_Analysis_Ready!A:D,4,FALSE)</f>
        <v>8</v>
      </c>
      <c r="D83" s="14" t="str">
        <f>VLOOKUP(A:A,Student_Analysis_Ready!A:F,6,FALSE)</f>
        <v>MTSS Tier 2</v>
      </c>
      <c r="E83" s="14" t="str">
        <f>VLOOKUP(A:A,Student_Analysis_Ready!A:E,5,FALSE)</f>
        <v>Active</v>
      </c>
      <c r="F83" s="14">
        <f>IFERROR(VLOOKUP(A:A,Attendence_Analysis_Ready!A:F,6,FALSE),"0")</f>
        <v>95.5</v>
      </c>
      <c r="G83" s="14" t="str">
        <f>IFERROR(VLOOKUP(A:A,Assessment_Analysis_Ready!A:C,3,FALSE),"Not Available")</f>
        <v>ELA</v>
      </c>
      <c r="H83" s="16">
        <f>IFERROR(VLOOKUP(A:A,Assessment_Analysis_Ready!A:D,4,FALSE),"Not Available")</f>
        <v>46110</v>
      </c>
      <c r="I83" s="14">
        <f>IFERROR(VLOOKUP(A:A,Assessment_Analysis_Ready!A:E,5,FALSE),"Not Available")</f>
        <v>73</v>
      </c>
      <c r="J83" s="14" t="str">
        <f>IFERROR(VLOOKUP(A:A,Assessment_Analysis_Ready!A:F,6,FALSE),"Not Available")</f>
        <v>Met</v>
      </c>
      <c r="K83" s="14">
        <f>IFERROR(VLOOKUP(A:A,Discipline_Analysis_Ready!A:C,3,FALSE),"Not Available")</f>
        <v>1</v>
      </c>
      <c r="L83" s="14">
        <f>IFERROR(VLOOKUP(A:A,Discipline_Analysis_Ready!A:D,4,FALSE),"Not Available")</f>
        <v>0</v>
      </c>
    </row>
    <row r="84" spans="1:12" x14ac:dyDescent="0.25">
      <c r="A84" s="15" t="s">
        <v>214</v>
      </c>
      <c r="B84" s="15" t="str">
        <f>VLOOKUP(A:A,Student_Analysis_Ready!A:H,8,FALSE)</f>
        <v>Mia Wilson</v>
      </c>
      <c r="C84" s="14">
        <f>VLOOKUP(A84,Student_Analysis_Ready!A:D,4,FALSE)</f>
        <v>5</v>
      </c>
      <c r="D84" s="14" t="str">
        <f>VLOOKUP(A:A,Student_Analysis_Ready!A:F,6,FALSE)</f>
        <v>MTSS Tier 2</v>
      </c>
      <c r="E84" s="14" t="str">
        <f>VLOOKUP(A:A,Student_Analysis_Ready!A:E,5,FALSE)</f>
        <v>Active</v>
      </c>
      <c r="F84" s="14">
        <f>IFERROR(VLOOKUP(A:A,Attendence_Analysis_Ready!A:F,6,FALSE),"0")</f>
        <v>79.400000000000006</v>
      </c>
      <c r="G84" s="14" t="str">
        <f>IFERROR(VLOOKUP(A:A,Assessment_Analysis_Ready!A:C,3,FALSE),"Not Available")</f>
        <v>ELA</v>
      </c>
      <c r="H84" s="16">
        <f>IFERROR(VLOOKUP(A:A,Assessment_Analysis_Ready!A:D,4,FALSE),"Not Available")</f>
        <v>46119</v>
      </c>
      <c r="I84" s="14">
        <f>IFERROR(VLOOKUP(A:A,Assessment_Analysis_Ready!A:E,5,FALSE),"Not Available")</f>
        <v>77</v>
      </c>
      <c r="J84" s="14" t="str">
        <f>IFERROR(VLOOKUP(A:A,Assessment_Analysis_Ready!A:F,6,FALSE),"Not Available")</f>
        <v>Met</v>
      </c>
      <c r="K84" s="14">
        <f>IFERROR(VLOOKUP(A:A,Discipline_Analysis_Ready!A:C,3,FALSE),"Not Available")</f>
        <v>0</v>
      </c>
      <c r="L84" s="14">
        <f>IFERROR(VLOOKUP(A:A,Discipline_Analysis_Ready!A:D,4,FALSE),"Not Available")</f>
        <v>0</v>
      </c>
    </row>
    <row r="85" spans="1:12" x14ac:dyDescent="0.25">
      <c r="A85" s="15" t="s">
        <v>215</v>
      </c>
      <c r="B85" s="15" t="str">
        <f>VLOOKUP(A:A,Student_Analysis_Ready!A:H,8,FALSE)</f>
        <v>Mia Anderson</v>
      </c>
      <c r="C85" s="14">
        <f>VLOOKUP(A85,Student_Analysis_Ready!A:D,4,FALSE)</f>
        <v>8</v>
      </c>
      <c r="D85" s="14" t="str">
        <f>VLOOKUP(A:A,Student_Analysis_Ready!A:F,6,FALSE)</f>
        <v>Core</v>
      </c>
      <c r="E85" s="14" t="str">
        <f>VLOOKUP(A:A,Student_Analysis_Ready!A:E,5,FALSE)</f>
        <v>Active</v>
      </c>
      <c r="F85" s="14">
        <f>IFERROR(VLOOKUP(A:A,Attendence_Analysis_Ready!A:F,6,FALSE),"0")</f>
        <v>98.4</v>
      </c>
      <c r="G85" s="14" t="str">
        <f>IFERROR(VLOOKUP(A:A,Assessment_Analysis_Ready!A:C,3,FALSE),"Not Available")</f>
        <v>Math</v>
      </c>
      <c r="H85" s="16">
        <f>IFERROR(VLOOKUP(A:A,Assessment_Analysis_Ready!A:D,4,FALSE),"Not Available")</f>
        <v>46070</v>
      </c>
      <c r="I85" s="14">
        <f>IFERROR(VLOOKUP(A:A,Assessment_Analysis_Ready!A:E,5,FALSE),"Not Available")</f>
        <v>72</v>
      </c>
      <c r="J85" s="14" t="str">
        <f>IFERROR(VLOOKUP(A:A,Assessment_Analysis_Ready!A:F,6,FALSE),"Not Available")</f>
        <v>Met</v>
      </c>
      <c r="K85" s="14">
        <f>IFERROR(VLOOKUP(A:A,Discipline_Analysis_Ready!A:C,3,FALSE),"Not Available")</f>
        <v>0</v>
      </c>
      <c r="L85" s="14">
        <f>IFERROR(VLOOKUP(A:A,Discipline_Analysis_Ready!A:D,4,FALSE),"Not Available")</f>
        <v>0</v>
      </c>
    </row>
    <row r="86" spans="1:12" x14ac:dyDescent="0.25">
      <c r="A86" s="15" t="s">
        <v>216</v>
      </c>
      <c r="B86" s="15" t="str">
        <f>VLOOKUP(A:A,Student_Analysis_Ready!A:H,8,FALSE)</f>
        <v>Ava Davis</v>
      </c>
      <c r="C86" s="14">
        <f>VLOOKUP(A86,Student_Analysis_Ready!A:D,4,FALSE)</f>
        <v>8</v>
      </c>
      <c r="D86" s="14" t="str">
        <f>VLOOKUP(A:A,Student_Analysis_Ready!A:F,6,FALSE)</f>
        <v>MTSS Tier 2</v>
      </c>
      <c r="E86" s="14" t="str">
        <f>VLOOKUP(A:A,Student_Analysis_Ready!A:E,5,FALSE)</f>
        <v>Active</v>
      </c>
      <c r="F86" s="14">
        <f>IFERROR(VLOOKUP(A:A,Attendence_Analysis_Ready!A:F,6,FALSE),"0")</f>
        <v>84.6</v>
      </c>
      <c r="G86" s="14" t="str">
        <f>IFERROR(VLOOKUP(A:A,Assessment_Analysis_Ready!A:C,3,FALSE),"Not Available")</f>
        <v>Math</v>
      </c>
      <c r="H86" s="16">
        <f>IFERROR(VLOOKUP(A:A,Assessment_Analysis_Ready!A:D,4,FALSE),"Not Available")</f>
        <v>46123</v>
      </c>
      <c r="I86" s="14">
        <f>IFERROR(VLOOKUP(A:A,Assessment_Analysis_Ready!A:E,5,FALSE),"Not Available")</f>
        <v>77</v>
      </c>
      <c r="J86" s="14" t="str">
        <f>IFERROR(VLOOKUP(A:A,Assessment_Analysis_Ready!A:F,6,FALSE),"Not Available")</f>
        <v>Met</v>
      </c>
      <c r="K86" s="14">
        <f>IFERROR(VLOOKUP(A:A,Discipline_Analysis_Ready!A:C,3,FALSE),"Not Available")</f>
        <v>0</v>
      </c>
      <c r="L86" s="14">
        <f>IFERROR(VLOOKUP(A:A,Discipline_Analysis_Ready!A:D,4,FALSE),"Not Available")</f>
        <v>0</v>
      </c>
    </row>
    <row r="87" spans="1:12" x14ac:dyDescent="0.25">
      <c r="A87" s="15" t="s">
        <v>217</v>
      </c>
      <c r="B87" s="15" t="str">
        <f>VLOOKUP(A:A,Student_Analysis_Ready!A:H,8,FALSE)</f>
        <v>Emma Anderson</v>
      </c>
      <c r="C87" s="14">
        <f>VLOOKUP(A87,Student_Analysis_Ready!A:D,4,FALSE)</f>
        <v>7</v>
      </c>
      <c r="D87" s="14" t="str">
        <f>VLOOKUP(A:A,Student_Analysis_Ready!A:F,6,FALSE)</f>
        <v>MTSS Tier 1</v>
      </c>
      <c r="E87" s="14" t="str">
        <f>VLOOKUP(A:A,Student_Analysis_Ready!A:E,5,FALSE)</f>
        <v>Active</v>
      </c>
      <c r="F87" s="14">
        <f>IFERROR(VLOOKUP(A:A,Attendence_Analysis_Ready!A:F,6,FALSE),"0")</f>
        <v>97.4</v>
      </c>
      <c r="G87" s="14" t="str">
        <f>IFERROR(VLOOKUP(A:A,Assessment_Analysis_Ready!A:C,3,FALSE),"Not Available")</f>
        <v>Science</v>
      </c>
      <c r="H87" s="16">
        <f>IFERROR(VLOOKUP(A:A,Assessment_Analysis_Ready!A:D,4,FALSE),"Not Available")</f>
        <v>46091</v>
      </c>
      <c r="I87" s="14">
        <f>IFERROR(VLOOKUP(A:A,Assessment_Analysis_Ready!A:E,5,FALSE),"Not Available")</f>
        <v>61</v>
      </c>
      <c r="J87" s="14" t="str">
        <f>IFERROR(VLOOKUP(A:A,Assessment_Analysis_Ready!A:F,6,FALSE),"Not Available")</f>
        <v>Below</v>
      </c>
      <c r="K87" s="14">
        <f>IFERROR(VLOOKUP(A:A,Discipline_Analysis_Ready!A:C,3,FALSE),"Not Available")</f>
        <v>1</v>
      </c>
      <c r="L87" s="14">
        <f>IFERROR(VLOOKUP(A:A,Discipline_Analysis_Ready!A:D,4,FALSE),"Not Available")</f>
        <v>1</v>
      </c>
    </row>
    <row r="88" spans="1:12" x14ac:dyDescent="0.25">
      <c r="A88" s="15" t="s">
        <v>218</v>
      </c>
      <c r="B88" s="15" t="str">
        <f>VLOOKUP(A:A,Student_Analysis_Ready!A:H,8,FALSE)</f>
        <v>Mason Brown</v>
      </c>
      <c r="C88" s="14">
        <f>VLOOKUP(A88,Student_Analysis_Ready!A:D,4,FALSE)</f>
        <v>7</v>
      </c>
      <c r="D88" s="14" t="str">
        <f>VLOOKUP(A:A,Student_Analysis_Ready!A:F,6,FALSE)</f>
        <v>Core</v>
      </c>
      <c r="E88" s="14" t="str">
        <f>VLOOKUP(A:A,Student_Analysis_Ready!A:E,5,FALSE)</f>
        <v>Active</v>
      </c>
      <c r="F88" s="14">
        <f>IFERROR(VLOOKUP(A:A,Attendence_Analysis_Ready!A:F,6,FALSE),"0")</f>
        <v>93.8</v>
      </c>
      <c r="G88" s="14" t="str">
        <f>IFERROR(VLOOKUP(A:A,Assessment_Analysis_Ready!A:C,3,FALSE),"Not Available")</f>
        <v>Science</v>
      </c>
      <c r="H88" s="16">
        <f>IFERROR(VLOOKUP(A:A,Assessment_Analysis_Ready!A:D,4,FALSE),"Not Available")</f>
        <v>46068</v>
      </c>
      <c r="I88" s="14">
        <f>IFERROR(VLOOKUP(A:A,Assessment_Analysis_Ready!A:E,5,FALSE),"Not Available")</f>
        <v>100</v>
      </c>
      <c r="J88" s="14" t="str">
        <f>IFERROR(VLOOKUP(A:A,Assessment_Analysis_Ready!A:F,6,FALSE),"Not Available")</f>
        <v>Met</v>
      </c>
      <c r="K88" s="14">
        <f>IFERROR(VLOOKUP(A:A,Discipline_Analysis_Ready!A:C,3,FALSE),"Not Available")</f>
        <v>0</v>
      </c>
      <c r="L88" s="14">
        <f>IFERROR(VLOOKUP(A:A,Discipline_Analysis_Ready!A:D,4,FALSE),"Not Available")</f>
        <v>0</v>
      </c>
    </row>
    <row r="89" spans="1:12" x14ac:dyDescent="0.25">
      <c r="A89" s="15" t="s">
        <v>219</v>
      </c>
      <c r="B89" s="15" t="str">
        <f>VLOOKUP(A:A,Student_Analysis_Ready!A:H,8,FALSE)</f>
        <v>Olivia Patel</v>
      </c>
      <c r="C89" s="14">
        <f>VLOOKUP(A89,Student_Analysis_Ready!A:D,4,FALSE)</f>
        <v>6</v>
      </c>
      <c r="D89" s="14" t="str">
        <f>VLOOKUP(A:A,Student_Analysis_Ready!A:F,6,FALSE)</f>
        <v>MTSS Tier 1</v>
      </c>
      <c r="E89" s="14" t="str">
        <f>VLOOKUP(A:A,Student_Analysis_Ready!A:E,5,FALSE)</f>
        <v>Active</v>
      </c>
      <c r="F89" s="14">
        <f>IFERROR(VLOOKUP(A:A,Attendence_Analysis_Ready!A:F,6,FALSE),"0")</f>
        <v>85.5</v>
      </c>
      <c r="G89" s="14" t="str">
        <f>IFERROR(VLOOKUP(A:A,Assessment_Analysis_Ready!A:C,3,FALSE),"Not Available")</f>
        <v>Math</v>
      </c>
      <c r="H89" s="16">
        <f>IFERROR(VLOOKUP(A:A,Assessment_Analysis_Ready!A:D,4,FALSE),"Not Available")</f>
        <v>46086</v>
      </c>
      <c r="I89" s="14">
        <f>IFERROR(VLOOKUP(A:A,Assessment_Analysis_Ready!A:E,5,FALSE),"Not Available")</f>
        <v>67</v>
      </c>
      <c r="J89" s="14" t="str">
        <f>IFERROR(VLOOKUP(A:A,Assessment_Analysis_Ready!A:F,6,FALSE),"Not Available")</f>
        <v>Below</v>
      </c>
      <c r="K89" s="14">
        <f>IFERROR(VLOOKUP(A:A,Discipline_Analysis_Ready!A:C,3,FALSE),"Not Available")</f>
        <v>1</v>
      </c>
      <c r="L89" s="14">
        <f>IFERROR(VLOOKUP(A:A,Discipline_Analysis_Ready!A:D,4,FALSE),"Not Available")</f>
        <v>0</v>
      </c>
    </row>
    <row r="90" spans="1:12" x14ac:dyDescent="0.25">
      <c r="A90" s="15" t="s">
        <v>220</v>
      </c>
      <c r="B90" s="15" t="str">
        <f>VLOOKUP(A:A,Student_Analysis_Ready!A:H,8,FALSE)</f>
        <v>Sophia Davis</v>
      </c>
      <c r="C90" s="14">
        <f>VLOOKUP(A90,Student_Analysis_Ready!A:D,4,FALSE)</f>
        <v>7</v>
      </c>
      <c r="D90" s="14" t="str">
        <f>VLOOKUP(A:A,Student_Analysis_Ready!A:F,6,FALSE)</f>
        <v>Core</v>
      </c>
      <c r="E90" s="14" t="str">
        <f>VLOOKUP(A:A,Student_Analysis_Ready!A:E,5,FALSE)</f>
        <v>Active</v>
      </c>
      <c r="F90" s="14">
        <f>IFERROR(VLOOKUP(A:A,Attendence_Analysis_Ready!A:F,6,FALSE),"0")</f>
        <v>92</v>
      </c>
      <c r="G90" s="14" t="str">
        <f>IFERROR(VLOOKUP(A:A,Assessment_Analysis_Ready!A:C,3,FALSE),"Not Available")</f>
        <v>Math</v>
      </c>
      <c r="H90" s="16">
        <f>IFERROR(VLOOKUP(A:A,Assessment_Analysis_Ready!A:D,4,FALSE),"Not Available")</f>
        <v>46043</v>
      </c>
      <c r="I90" s="14">
        <f>IFERROR(VLOOKUP(A:A,Assessment_Analysis_Ready!A:E,5,FALSE),"Not Available")</f>
        <v>72</v>
      </c>
      <c r="J90" s="14" t="str">
        <f>IFERROR(VLOOKUP(A:A,Assessment_Analysis_Ready!A:F,6,FALSE),"Not Available")</f>
        <v>Met</v>
      </c>
      <c r="K90" s="14">
        <f>IFERROR(VLOOKUP(A:A,Discipline_Analysis_Ready!A:C,3,FALSE),"Not Available")</f>
        <v>2</v>
      </c>
      <c r="L90" s="14">
        <f>IFERROR(VLOOKUP(A:A,Discipline_Analysis_Ready!A:D,4,FALSE),"Not Available")</f>
        <v>0</v>
      </c>
    </row>
    <row r="91" spans="1:12" x14ac:dyDescent="0.25">
      <c r="A91" s="15" t="s">
        <v>221</v>
      </c>
      <c r="B91" s="15" t="str">
        <f>VLOOKUP(A:A,Student_Analysis_Ready!A:H,8,FALSE)</f>
        <v>Olivia Lee</v>
      </c>
      <c r="C91" s="14">
        <f>VLOOKUP(A91,Student_Analysis_Ready!A:D,4,FALSE)</f>
        <v>6</v>
      </c>
      <c r="D91" s="14" t="str">
        <f>VLOOKUP(A:A,Student_Analysis_Ready!A:F,6,FALSE)</f>
        <v>Core</v>
      </c>
      <c r="E91" s="14" t="str">
        <f>VLOOKUP(A:A,Student_Analysis_Ready!A:E,5,FALSE)</f>
        <v>Active</v>
      </c>
      <c r="F91" s="14">
        <f>IFERROR(VLOOKUP(A:A,Attendence_Analysis_Ready!A:F,6,FALSE),"0")</f>
        <v>84.4</v>
      </c>
      <c r="G91" s="14" t="str">
        <f>IFERROR(VLOOKUP(A:A,Assessment_Analysis_Ready!A:C,3,FALSE),"Not Available")</f>
        <v>Science</v>
      </c>
      <c r="H91" s="16">
        <f>IFERROR(VLOOKUP(A:A,Assessment_Analysis_Ready!A:D,4,FALSE),"Not Available")</f>
        <v>46044</v>
      </c>
      <c r="I91" s="14">
        <f>IFERROR(VLOOKUP(A:A,Assessment_Analysis_Ready!A:E,5,FALSE),"Not Available")</f>
        <v>66</v>
      </c>
      <c r="J91" s="14" t="str">
        <f>IFERROR(VLOOKUP(A:A,Assessment_Analysis_Ready!A:F,6,FALSE),"Not Available")</f>
        <v>Below</v>
      </c>
      <c r="K91" s="14">
        <f>IFERROR(VLOOKUP(A:A,Discipline_Analysis_Ready!A:C,3,FALSE),"Not Available")</f>
        <v>1</v>
      </c>
      <c r="L91" s="14">
        <f>IFERROR(VLOOKUP(A:A,Discipline_Analysis_Ready!A:D,4,FALSE),"Not Available")</f>
        <v>1</v>
      </c>
    </row>
    <row r="92" spans="1:12" x14ac:dyDescent="0.25">
      <c r="A92" s="15" t="s">
        <v>222</v>
      </c>
      <c r="B92" s="15" t="str">
        <f>VLOOKUP(A:A,Student_Analysis_Ready!A:H,8,FALSE)</f>
        <v>Sophia Johnson</v>
      </c>
      <c r="C92" s="14">
        <f>VLOOKUP(A92,Student_Analysis_Ready!A:D,4,FALSE)</f>
        <v>6</v>
      </c>
      <c r="D92" s="14" t="str">
        <f>VLOOKUP(A:A,Student_Analysis_Ready!A:F,6,FALSE)</f>
        <v>MTSS Tier 1</v>
      </c>
      <c r="E92" s="14" t="str">
        <f>VLOOKUP(A:A,Student_Analysis_Ready!A:E,5,FALSE)</f>
        <v>Active</v>
      </c>
      <c r="F92" s="14">
        <f>IFERROR(VLOOKUP(A:A,Attendence_Analysis_Ready!A:F,6,FALSE),"0")</f>
        <v>84.2</v>
      </c>
      <c r="G92" s="14" t="str">
        <f>IFERROR(VLOOKUP(A:A,Assessment_Analysis_Ready!A:C,3,FALSE),"Not Available")</f>
        <v>ELA</v>
      </c>
      <c r="H92" s="16">
        <f>IFERROR(VLOOKUP(A:A,Assessment_Analysis_Ready!A:D,4,FALSE),"Not Available")</f>
        <v>46101</v>
      </c>
      <c r="I92" s="14">
        <f>IFERROR(VLOOKUP(A:A,Assessment_Analysis_Ready!A:E,5,FALSE),"Not Available")</f>
        <v>83</v>
      </c>
      <c r="J92" s="14" t="str">
        <f>IFERROR(VLOOKUP(A:A,Assessment_Analysis_Ready!A:F,6,FALSE),"Not Available")</f>
        <v>Met</v>
      </c>
      <c r="K92" s="14">
        <f>IFERROR(VLOOKUP(A:A,Discipline_Analysis_Ready!A:C,3,FALSE),"Not Available")</f>
        <v>2</v>
      </c>
      <c r="L92" s="14">
        <f>IFERROR(VLOOKUP(A:A,Discipline_Analysis_Ready!A:D,4,FALSE),"Not Available")</f>
        <v>0</v>
      </c>
    </row>
    <row r="93" spans="1:12" x14ac:dyDescent="0.25">
      <c r="A93" s="15" t="s">
        <v>223</v>
      </c>
      <c r="B93" s="15" t="str">
        <f>VLOOKUP(A:A,Student_Analysis_Ready!A:H,8,FALSE)</f>
        <v>Lucas Smith</v>
      </c>
      <c r="C93" s="14">
        <f>VLOOKUP(A93,Student_Analysis_Ready!A:D,4,FALSE)</f>
        <v>6</v>
      </c>
      <c r="D93" s="14" t="str">
        <f>VLOOKUP(A:A,Student_Analysis_Ready!A:F,6,FALSE)</f>
        <v>Core</v>
      </c>
      <c r="E93" s="14" t="str">
        <f>VLOOKUP(A:A,Student_Analysis_Ready!A:E,5,FALSE)</f>
        <v>Active</v>
      </c>
      <c r="F93" s="14">
        <f>IFERROR(VLOOKUP(A:A,Attendence_Analysis_Ready!A:F,6,FALSE),"0")</f>
        <v>90.6</v>
      </c>
      <c r="G93" s="14" t="str">
        <f>IFERROR(VLOOKUP(A:A,Assessment_Analysis_Ready!A:C,3,FALSE),"Not Available")</f>
        <v>Math</v>
      </c>
      <c r="H93" s="16">
        <f>IFERROR(VLOOKUP(A:A,Assessment_Analysis_Ready!A:D,4,FALSE),"Not Available")</f>
        <v>46093</v>
      </c>
      <c r="I93" s="14">
        <f>IFERROR(VLOOKUP(A:A,Assessment_Analysis_Ready!A:E,5,FALSE),"Not Available")</f>
        <v>74</v>
      </c>
      <c r="J93" s="14" t="str">
        <f>IFERROR(VLOOKUP(A:A,Assessment_Analysis_Ready!A:F,6,FALSE),"Not Available")</f>
        <v>Met</v>
      </c>
      <c r="K93" s="14">
        <f>IFERROR(VLOOKUP(A:A,Discipline_Analysis_Ready!A:C,3,FALSE),"Not Available")</f>
        <v>1</v>
      </c>
      <c r="L93" s="14">
        <f>IFERROR(VLOOKUP(A:A,Discipline_Analysis_Ready!A:D,4,FALSE),"Not Available")</f>
        <v>0</v>
      </c>
    </row>
    <row r="94" spans="1:12" x14ac:dyDescent="0.25">
      <c r="A94" s="15" t="s">
        <v>224</v>
      </c>
      <c r="B94" s="15" t="str">
        <f>VLOOKUP(A:A,Student_Analysis_Ready!A:H,8,FALSE)</f>
        <v>James Patel</v>
      </c>
      <c r="C94" s="14">
        <f>VLOOKUP(A94,Student_Analysis_Ready!A:D,4,FALSE)</f>
        <v>6</v>
      </c>
      <c r="D94" s="14" t="str">
        <f>VLOOKUP(A:A,Student_Analysis_Ready!A:F,6,FALSE)</f>
        <v>Core</v>
      </c>
      <c r="E94" s="14" t="str">
        <f>VLOOKUP(A:A,Student_Analysis_Ready!A:E,5,FALSE)</f>
        <v>Active</v>
      </c>
      <c r="F94" s="14">
        <f>IFERROR(VLOOKUP(A:A,Attendence_Analysis_Ready!A:F,6,FALSE),"0")</f>
        <v>95.4</v>
      </c>
      <c r="G94" s="14" t="str">
        <f>IFERROR(VLOOKUP(A:A,Assessment_Analysis_Ready!A:C,3,FALSE),"Not Available")</f>
        <v>Science</v>
      </c>
      <c r="H94" s="16">
        <f>IFERROR(VLOOKUP(A:A,Assessment_Analysis_Ready!A:D,4,FALSE),"Not Available")</f>
        <v>46103</v>
      </c>
      <c r="I94" s="14">
        <f>IFERROR(VLOOKUP(A:A,Assessment_Analysis_Ready!A:E,5,FALSE),"Not Available")</f>
        <v>64</v>
      </c>
      <c r="J94" s="14" t="str">
        <f>IFERROR(VLOOKUP(A:A,Assessment_Analysis_Ready!A:F,6,FALSE),"Not Available")</f>
        <v>Below</v>
      </c>
      <c r="K94" s="14">
        <f>IFERROR(VLOOKUP(A:A,Discipline_Analysis_Ready!A:C,3,FALSE),"Not Available")</f>
        <v>0</v>
      </c>
      <c r="L94" s="14">
        <f>IFERROR(VLOOKUP(A:A,Discipline_Analysis_Ready!A:D,4,FALSE),"Not Available")</f>
        <v>0</v>
      </c>
    </row>
    <row r="95" spans="1:12" x14ac:dyDescent="0.25">
      <c r="A95" s="15" t="s">
        <v>225</v>
      </c>
      <c r="B95" s="15" t="str">
        <f>VLOOKUP(A:A,Student_Analysis_Ready!A:H,8,FALSE)</f>
        <v>Liam Patel</v>
      </c>
      <c r="C95" s="14">
        <f>VLOOKUP(A95,Student_Analysis_Ready!A:D,4,FALSE)</f>
        <v>6</v>
      </c>
      <c r="D95" s="14" t="str">
        <f>VLOOKUP(A:A,Student_Analysis_Ready!A:F,6,FALSE)</f>
        <v>Core</v>
      </c>
      <c r="E95" s="14" t="str">
        <f>VLOOKUP(A:A,Student_Analysis_Ready!A:E,5,FALSE)</f>
        <v>Active</v>
      </c>
      <c r="F95" s="14">
        <f>IFERROR(VLOOKUP(A:A,Attendence_Analysis_Ready!A:F,6,FALSE),"0")</f>
        <v>99.4</v>
      </c>
      <c r="G95" s="14" t="str">
        <f>IFERROR(VLOOKUP(A:A,Assessment_Analysis_Ready!A:C,3,FALSE),"Not Available")</f>
        <v>ELA</v>
      </c>
      <c r="H95" s="16">
        <f>IFERROR(VLOOKUP(A:A,Assessment_Analysis_Ready!A:D,4,FALSE),"Not Available")</f>
        <v>46124</v>
      </c>
      <c r="I95" s="14">
        <f>IFERROR(VLOOKUP(A:A,Assessment_Analysis_Ready!A:E,5,FALSE),"Not Available")</f>
        <v>84</v>
      </c>
      <c r="J95" s="14" t="str">
        <f>IFERROR(VLOOKUP(A:A,Assessment_Analysis_Ready!A:F,6,FALSE),"Not Available")</f>
        <v>Met</v>
      </c>
      <c r="K95" s="14">
        <f>IFERROR(VLOOKUP(A:A,Discipline_Analysis_Ready!A:C,3,FALSE),"Not Available")</f>
        <v>1</v>
      </c>
      <c r="L95" s="14">
        <f>IFERROR(VLOOKUP(A:A,Discipline_Analysis_Ready!A:D,4,FALSE),"Not Available")</f>
        <v>0</v>
      </c>
    </row>
    <row r="96" spans="1:12" x14ac:dyDescent="0.25">
      <c r="A96" s="15" t="s">
        <v>226</v>
      </c>
      <c r="B96" s="15" t="str">
        <f>VLOOKUP(A:A,Student_Analysis_Ready!A:H,8,FALSE)</f>
        <v>Ava Anderson</v>
      </c>
      <c r="C96" s="14">
        <f>VLOOKUP(A96,Student_Analysis_Ready!A:D,4,FALSE)</f>
        <v>5</v>
      </c>
      <c r="D96" s="14" t="str">
        <f>VLOOKUP(A:A,Student_Analysis_Ready!A:F,6,FALSE)</f>
        <v>Core</v>
      </c>
      <c r="E96" s="14" t="str">
        <f>VLOOKUP(A:A,Student_Analysis_Ready!A:E,5,FALSE)</f>
        <v>Active</v>
      </c>
      <c r="F96" s="14">
        <f>IFERROR(VLOOKUP(A:A,Attendence_Analysis_Ready!A:F,6,FALSE),"0")</f>
        <v>91.7</v>
      </c>
      <c r="G96" s="14" t="str">
        <f>IFERROR(VLOOKUP(A:A,Assessment_Analysis_Ready!A:C,3,FALSE),"Not Available")</f>
        <v>Math</v>
      </c>
      <c r="H96" s="16">
        <f>IFERROR(VLOOKUP(A:A,Assessment_Analysis_Ready!A:D,4,FALSE),"Not Available")</f>
        <v>46123</v>
      </c>
      <c r="I96" s="14">
        <f>IFERROR(VLOOKUP(A:A,Assessment_Analysis_Ready!A:E,5,FALSE),"Not Available")</f>
        <v>85</v>
      </c>
      <c r="J96" s="14" t="str">
        <f>IFERROR(VLOOKUP(A:A,Assessment_Analysis_Ready!A:F,6,FALSE),"Not Available")</f>
        <v>Met</v>
      </c>
      <c r="K96" s="14">
        <f>IFERROR(VLOOKUP(A:A,Discipline_Analysis_Ready!A:C,3,FALSE),"Not Available")</f>
        <v>1</v>
      </c>
      <c r="L96" s="14">
        <f>IFERROR(VLOOKUP(A:A,Discipline_Analysis_Ready!A:D,4,FALSE),"Not Available")</f>
        <v>0</v>
      </c>
    </row>
    <row r="97" spans="1:12" x14ac:dyDescent="0.25">
      <c r="A97" s="15" t="s">
        <v>227</v>
      </c>
      <c r="B97" s="15" t="str">
        <f>VLOOKUP(A:A,Student_Analysis_Ready!A:H,8,FALSE)</f>
        <v>Leo Brown</v>
      </c>
      <c r="C97" s="14">
        <f>VLOOKUP(A97,Student_Analysis_Ready!A:D,4,FALSE)</f>
        <v>7</v>
      </c>
      <c r="D97" s="14" t="str">
        <f>VLOOKUP(A:A,Student_Analysis_Ready!A:F,6,FALSE)</f>
        <v>Core</v>
      </c>
      <c r="E97" s="14" t="str">
        <f>VLOOKUP(A:A,Student_Analysis_Ready!A:E,5,FALSE)</f>
        <v>Withdrawn</v>
      </c>
      <c r="F97" s="14">
        <f>IFERROR(VLOOKUP(A:A,Attendence_Analysis_Ready!A:F,6,FALSE),"0")</f>
        <v>98.2</v>
      </c>
      <c r="G97" s="14" t="str">
        <f>IFERROR(VLOOKUP(A:A,Assessment_Analysis_Ready!A:C,3,FALSE),"Not Available")</f>
        <v>ELA</v>
      </c>
      <c r="H97" s="16">
        <f>IFERROR(VLOOKUP(A:A,Assessment_Analysis_Ready!A:D,4,FALSE),"Not Available")</f>
        <v>46095</v>
      </c>
      <c r="I97" s="14">
        <f>IFERROR(VLOOKUP(A:A,Assessment_Analysis_Ready!A:E,5,FALSE),"Not Available")</f>
        <v>75</v>
      </c>
      <c r="J97" s="14" t="str">
        <f>IFERROR(VLOOKUP(A:A,Assessment_Analysis_Ready!A:F,6,FALSE),"Not Available")</f>
        <v>Met</v>
      </c>
      <c r="K97" s="14">
        <f>IFERROR(VLOOKUP(A:A,Discipline_Analysis_Ready!A:C,3,FALSE),"Not Available")</f>
        <v>1</v>
      </c>
      <c r="L97" s="14">
        <f>IFERROR(VLOOKUP(A:A,Discipline_Analysis_Ready!A:D,4,FALSE),"Not Available")</f>
        <v>0</v>
      </c>
    </row>
    <row r="98" spans="1:12" x14ac:dyDescent="0.25">
      <c r="A98" s="15" t="s">
        <v>228</v>
      </c>
      <c r="B98" s="15" t="str">
        <f>VLOOKUP(A:A,Student_Analysis_Ready!A:H,8,FALSE)</f>
        <v>Emma Miller</v>
      </c>
      <c r="C98" s="14">
        <f>VLOOKUP(A98,Student_Analysis_Ready!A:D,4,FALSE)</f>
        <v>6</v>
      </c>
      <c r="D98" s="14" t="str">
        <f>VLOOKUP(A:A,Student_Analysis_Ready!A:F,6,FALSE)</f>
        <v>MTSS Tier 1</v>
      </c>
      <c r="E98" s="14" t="str">
        <f>VLOOKUP(A:A,Student_Analysis_Ready!A:E,5,FALSE)</f>
        <v>Active</v>
      </c>
      <c r="F98" s="14">
        <f>IFERROR(VLOOKUP(A:A,Attendence_Analysis_Ready!A:F,6,FALSE),"0")</f>
        <v>98.1</v>
      </c>
      <c r="G98" s="14" t="str">
        <f>IFERROR(VLOOKUP(A:A,Assessment_Analysis_Ready!A:C,3,FALSE),"Not Available")</f>
        <v>Science</v>
      </c>
      <c r="H98" s="16">
        <f>IFERROR(VLOOKUP(A:A,Assessment_Analysis_Ready!A:D,4,FALSE),"Not Available")</f>
        <v>46108</v>
      </c>
      <c r="I98" s="14">
        <f>IFERROR(VLOOKUP(A:A,Assessment_Analysis_Ready!A:E,5,FALSE),"Not Available")</f>
        <v>68</v>
      </c>
      <c r="J98" s="14" t="str">
        <f>IFERROR(VLOOKUP(A:A,Assessment_Analysis_Ready!A:F,6,FALSE),"Not Available")</f>
        <v>Below</v>
      </c>
      <c r="K98" s="14">
        <f>IFERROR(VLOOKUP(A:A,Discipline_Analysis_Ready!A:C,3,FALSE),"Not Available")</f>
        <v>2</v>
      </c>
      <c r="L98" s="14">
        <f>IFERROR(VLOOKUP(A:A,Discipline_Analysis_Ready!A:D,4,FALSE),"Not Available")</f>
        <v>0</v>
      </c>
    </row>
    <row r="99" spans="1:12" x14ac:dyDescent="0.25">
      <c r="A99" s="15" t="s">
        <v>229</v>
      </c>
      <c r="B99" s="15" t="str">
        <f>VLOOKUP(A:A,Student_Analysis_Ready!A:H,8,FALSE)</f>
        <v>Mia Thomas</v>
      </c>
      <c r="C99" s="14">
        <f>VLOOKUP(A99,Student_Analysis_Ready!A:D,4,FALSE)</f>
        <v>8</v>
      </c>
      <c r="D99" s="14" t="str">
        <f>VLOOKUP(A:A,Student_Analysis_Ready!A:F,6,FALSE)</f>
        <v>MTSS Tier 1</v>
      </c>
      <c r="E99" s="14" t="str">
        <f>VLOOKUP(A:A,Student_Analysis_Ready!A:E,5,FALSE)</f>
        <v>Active</v>
      </c>
      <c r="F99" s="14">
        <f>IFERROR(VLOOKUP(A:A,Attendence_Analysis_Ready!A:F,6,FALSE),"0")</f>
        <v>100</v>
      </c>
      <c r="G99" s="14" t="str">
        <f>IFERROR(VLOOKUP(A:A,Assessment_Analysis_Ready!A:C,3,FALSE),"Not Available")</f>
        <v>Math</v>
      </c>
      <c r="H99" s="16">
        <f>IFERROR(VLOOKUP(A:A,Assessment_Analysis_Ready!A:D,4,FALSE),"Not Available")</f>
        <v>46090</v>
      </c>
      <c r="I99" s="14">
        <f>IFERROR(VLOOKUP(A:A,Assessment_Analysis_Ready!A:E,5,FALSE),"Not Available")</f>
        <v>100</v>
      </c>
      <c r="J99" s="14" t="str">
        <f>IFERROR(VLOOKUP(A:A,Assessment_Analysis_Ready!A:F,6,FALSE),"Not Available")</f>
        <v>Met</v>
      </c>
      <c r="K99" s="14">
        <f>IFERROR(VLOOKUP(A:A,Discipline_Analysis_Ready!A:C,3,FALSE),"Not Available")</f>
        <v>6</v>
      </c>
      <c r="L99" s="14">
        <f>IFERROR(VLOOKUP(A:A,Discipline_Analysis_Ready!A:D,4,FALSE),"Not Available")</f>
        <v>0</v>
      </c>
    </row>
    <row r="100" spans="1:12" x14ac:dyDescent="0.25">
      <c r="A100" s="15" t="s">
        <v>230</v>
      </c>
      <c r="B100" s="15" t="str">
        <f>VLOOKUP(A:A,Student_Analysis_Ready!A:H,8,FALSE)</f>
        <v>James Anderson</v>
      </c>
      <c r="C100" s="14">
        <f>VLOOKUP(A100,Student_Analysis_Ready!A:D,4,FALSE)</f>
        <v>7</v>
      </c>
      <c r="D100" s="14" t="str">
        <f>VLOOKUP(A:A,Student_Analysis_Ready!A:F,6,FALSE)</f>
        <v>MTSS Tier 2</v>
      </c>
      <c r="E100" s="14" t="str">
        <f>VLOOKUP(A:A,Student_Analysis_Ready!A:E,5,FALSE)</f>
        <v>Active</v>
      </c>
      <c r="F100" s="14">
        <f>IFERROR(VLOOKUP(A:A,Attendence_Analysis_Ready!A:F,6,FALSE),"0")</f>
        <v>96</v>
      </c>
      <c r="G100" s="14" t="str">
        <f>IFERROR(VLOOKUP(A:A,Assessment_Analysis_Ready!A:C,3,FALSE),"Not Available")</f>
        <v>ELA</v>
      </c>
      <c r="H100" s="16">
        <f>IFERROR(VLOOKUP(A:A,Assessment_Analysis_Ready!A:D,4,FALSE),"Not Available")</f>
        <v>46103</v>
      </c>
      <c r="I100" s="14">
        <f>IFERROR(VLOOKUP(A:A,Assessment_Analysis_Ready!A:E,5,FALSE),"Not Available")</f>
        <v>80</v>
      </c>
      <c r="J100" s="14" t="str">
        <f>IFERROR(VLOOKUP(A:A,Assessment_Analysis_Ready!A:F,6,FALSE),"Not Available")</f>
        <v>Met</v>
      </c>
      <c r="K100" s="14">
        <f>IFERROR(VLOOKUP(A:A,Discipline_Analysis_Ready!A:C,3,FALSE),"Not Available")</f>
        <v>1</v>
      </c>
      <c r="L100" s="14">
        <f>IFERROR(VLOOKUP(A:A,Discipline_Analysis_Ready!A:D,4,FALSE),"Not Available")</f>
        <v>0</v>
      </c>
    </row>
    <row r="101" spans="1:12" x14ac:dyDescent="0.25">
      <c r="A101" s="15" t="s">
        <v>231</v>
      </c>
      <c r="B101" s="15" t="str">
        <f>VLOOKUP(A:A,Student_Analysis_Ready!A:H,8,FALSE)</f>
        <v>Lucas Patel</v>
      </c>
      <c r="C101" s="14">
        <f>VLOOKUP(A101,Student_Analysis_Ready!A:D,4,FALSE)</f>
        <v>7</v>
      </c>
      <c r="D101" s="14" t="str">
        <f>VLOOKUP(A:A,Student_Analysis_Ready!A:F,6,FALSE)</f>
        <v>MTSS Tier 2</v>
      </c>
      <c r="E101" s="14" t="str">
        <f>VLOOKUP(A:A,Student_Analysis_Ready!A:E,5,FALSE)</f>
        <v>Active</v>
      </c>
      <c r="F101" s="14">
        <f>IFERROR(VLOOKUP(A:A,Attendence_Analysis_Ready!A:F,6,FALSE),"0")</f>
        <v>81.599999999999994</v>
      </c>
      <c r="G101" s="14" t="str">
        <f>IFERROR(VLOOKUP(A:A,Assessment_Analysis_Ready!A:C,3,FALSE),"Not Available")</f>
        <v>Math</v>
      </c>
      <c r="H101" s="16">
        <f>IFERROR(VLOOKUP(A:A,Assessment_Analysis_Ready!A:D,4,FALSE),"Not Available")</f>
        <v>46087</v>
      </c>
      <c r="I101" s="14">
        <f>IFERROR(VLOOKUP(A:A,Assessment_Analysis_Ready!A:E,5,FALSE),"Not Available")</f>
        <v>61</v>
      </c>
      <c r="J101" s="14" t="str">
        <f>IFERROR(VLOOKUP(A:A,Assessment_Analysis_Ready!A:F,6,FALSE),"Not Available")</f>
        <v>Below</v>
      </c>
      <c r="K101" s="14">
        <f>IFERROR(VLOOKUP(A:A,Discipline_Analysis_Ready!A:C,3,FALSE),"Not Available")</f>
        <v>0</v>
      </c>
      <c r="L101" s="14">
        <f>IFERROR(VLOOKUP(A:A,Discipline_Analysis_Ready!A:D,4,FALSE),"Not Available")</f>
        <v>0</v>
      </c>
    </row>
    <row r="102" spans="1:12" x14ac:dyDescent="0.25">
      <c r="A102" s="15" t="s">
        <v>232</v>
      </c>
      <c r="B102" s="15" t="str">
        <f>VLOOKUP(A:A,Student_Analysis_Ready!A:H,8,FALSE)</f>
        <v>Mia Garcia</v>
      </c>
      <c r="C102" s="14">
        <f>VLOOKUP(A102,Student_Analysis_Ready!A:D,4,FALSE)</f>
        <v>6</v>
      </c>
      <c r="D102" s="14" t="str">
        <f>VLOOKUP(A:A,Student_Analysis_Ready!A:F,6,FALSE)</f>
        <v>MTSS Tier 1</v>
      </c>
      <c r="E102" s="14" t="str">
        <f>VLOOKUP(A:A,Student_Analysis_Ready!A:E,5,FALSE)</f>
        <v>Active</v>
      </c>
      <c r="F102" s="14">
        <f>IFERROR(VLOOKUP(A:A,Attendence_Analysis_Ready!A:F,6,FALSE),"0")</f>
        <v>95.5</v>
      </c>
      <c r="G102" s="14" t="str">
        <f>IFERROR(VLOOKUP(A:A,Assessment_Analysis_Ready!A:C,3,FALSE),"Not Available")</f>
        <v>ELA</v>
      </c>
      <c r="H102" s="16">
        <f>IFERROR(VLOOKUP(A:A,Assessment_Analysis_Ready!A:D,4,FALSE),"Not Available")</f>
        <v>46044</v>
      </c>
      <c r="I102" s="14">
        <f>IFERROR(VLOOKUP(A:A,Assessment_Analysis_Ready!A:E,5,FALSE),"Not Available")</f>
        <v>93</v>
      </c>
      <c r="J102" s="14" t="str">
        <f>IFERROR(VLOOKUP(A:A,Assessment_Analysis_Ready!A:F,6,FALSE),"Not Available")</f>
        <v>Met</v>
      </c>
      <c r="K102" s="14">
        <f>IFERROR(VLOOKUP(A:A,Discipline_Analysis_Ready!A:C,3,FALSE),"Not Available")</f>
        <v>1</v>
      </c>
      <c r="L102" s="14">
        <f>IFERROR(VLOOKUP(A:A,Discipline_Analysis_Ready!A:D,4,FALSE),"Not Available")</f>
        <v>0</v>
      </c>
    </row>
    <row r="103" spans="1:12" x14ac:dyDescent="0.25">
      <c r="A103" s="15" t="s">
        <v>233</v>
      </c>
      <c r="B103" s="15" t="str">
        <f>VLOOKUP(A:A,Student_Analysis_Ready!A:H,8,FALSE)</f>
        <v>Ava Johnson</v>
      </c>
      <c r="C103" s="14">
        <f>VLOOKUP(A103,Student_Analysis_Ready!A:D,4,FALSE)</f>
        <v>5</v>
      </c>
      <c r="D103" s="14" t="str">
        <f>VLOOKUP(A:A,Student_Analysis_Ready!A:F,6,FALSE)</f>
        <v>MTSS Tier 1</v>
      </c>
      <c r="E103" s="14" t="str">
        <f>VLOOKUP(A:A,Student_Analysis_Ready!A:E,5,FALSE)</f>
        <v>Active</v>
      </c>
      <c r="F103" s="14">
        <f>IFERROR(VLOOKUP(A:A,Attendence_Analysis_Ready!A:F,6,FALSE),"0")</f>
        <v>89.9</v>
      </c>
      <c r="G103" s="14" t="str">
        <f>IFERROR(VLOOKUP(A:A,Assessment_Analysis_Ready!A:C,3,FALSE),"Not Available")</f>
        <v>Science</v>
      </c>
      <c r="H103" s="16">
        <f>IFERROR(VLOOKUP(A:A,Assessment_Analysis_Ready!A:D,4,FALSE),"Not Available")</f>
        <v>46070</v>
      </c>
      <c r="I103" s="14">
        <f>IFERROR(VLOOKUP(A:A,Assessment_Analysis_Ready!A:E,5,FALSE),"Not Available")</f>
        <v>66</v>
      </c>
      <c r="J103" s="14" t="str">
        <f>IFERROR(VLOOKUP(A:A,Assessment_Analysis_Ready!A:F,6,FALSE),"Not Available")</f>
        <v>Below</v>
      </c>
      <c r="K103" s="14">
        <f>IFERROR(VLOOKUP(A:A,Discipline_Analysis_Ready!A:C,3,FALSE),"Not Available")</f>
        <v>1</v>
      </c>
      <c r="L103" s="14">
        <f>IFERROR(VLOOKUP(A:A,Discipline_Analysis_Ready!A:D,4,FALSE),"Not Available")</f>
        <v>0</v>
      </c>
    </row>
    <row r="104" spans="1:12" x14ac:dyDescent="0.25">
      <c r="A104" s="15" t="s">
        <v>234</v>
      </c>
      <c r="B104" s="15" t="str">
        <f>VLOOKUP(A:A,Student_Analysis_Ready!A:H,8,FALSE)</f>
        <v>Mia Thomas</v>
      </c>
      <c r="C104" s="14">
        <f>VLOOKUP(A104,Student_Analysis_Ready!A:D,4,FALSE)</f>
        <v>6</v>
      </c>
      <c r="D104" s="14" t="str">
        <f>VLOOKUP(A:A,Student_Analysis_Ready!A:F,6,FALSE)</f>
        <v>Core</v>
      </c>
      <c r="E104" s="14" t="str">
        <f>VLOOKUP(A:A,Student_Analysis_Ready!A:E,5,FALSE)</f>
        <v>Active</v>
      </c>
      <c r="F104" s="14">
        <f>IFERROR(VLOOKUP(A:A,Attendence_Analysis_Ready!A:F,6,FALSE),"0")</f>
        <v>94.9</v>
      </c>
      <c r="G104" s="14" t="str">
        <f>IFERROR(VLOOKUP(A:A,Assessment_Analysis_Ready!A:C,3,FALSE),"Not Available")</f>
        <v>Science</v>
      </c>
      <c r="H104" s="16">
        <f>IFERROR(VLOOKUP(A:A,Assessment_Analysis_Ready!A:D,4,FALSE),"Not Available")</f>
        <v>46071</v>
      </c>
      <c r="I104" s="14">
        <f>IFERROR(VLOOKUP(A:A,Assessment_Analysis_Ready!A:E,5,FALSE),"Not Available")</f>
        <v>100</v>
      </c>
      <c r="J104" s="14" t="str">
        <f>IFERROR(VLOOKUP(A:A,Assessment_Analysis_Ready!A:F,6,FALSE),"Not Available")</f>
        <v>Met</v>
      </c>
      <c r="K104" s="14">
        <f>IFERROR(VLOOKUP(A:A,Discipline_Analysis_Ready!A:C,3,FALSE),"Not Available")</f>
        <v>1</v>
      </c>
      <c r="L104" s="14">
        <f>IFERROR(VLOOKUP(A:A,Discipline_Analysis_Ready!A:D,4,FALSE),"Not Available")</f>
        <v>0</v>
      </c>
    </row>
    <row r="105" spans="1:12" x14ac:dyDescent="0.25">
      <c r="A105" s="15" t="s">
        <v>235</v>
      </c>
      <c r="B105" s="15" t="str">
        <f>VLOOKUP(A:A,Student_Analysis_Ready!A:H,8,FALSE)</f>
        <v>Emma Anderson</v>
      </c>
      <c r="C105" s="14">
        <f>VLOOKUP(A105,Student_Analysis_Ready!A:D,4,FALSE)</f>
        <v>5</v>
      </c>
      <c r="D105" s="14" t="str">
        <f>VLOOKUP(A:A,Student_Analysis_Ready!A:F,6,FALSE)</f>
        <v>Core</v>
      </c>
      <c r="E105" s="14" t="str">
        <f>VLOOKUP(A:A,Student_Analysis_Ready!A:E,5,FALSE)</f>
        <v>Active</v>
      </c>
      <c r="F105" s="14">
        <f>IFERROR(VLOOKUP(A:A,Attendence_Analysis_Ready!A:F,6,FALSE),"0")</f>
        <v>96.3</v>
      </c>
      <c r="G105" s="14" t="str">
        <f>IFERROR(VLOOKUP(A:A,Assessment_Analysis_Ready!A:C,3,FALSE),"Not Available")</f>
        <v>Math</v>
      </c>
      <c r="H105" s="16">
        <f>IFERROR(VLOOKUP(A:A,Assessment_Analysis_Ready!A:D,4,FALSE),"Not Available")</f>
        <v>46124</v>
      </c>
      <c r="I105" s="14">
        <f>IFERROR(VLOOKUP(A:A,Assessment_Analysis_Ready!A:E,5,FALSE),"Not Available")</f>
        <v>77</v>
      </c>
      <c r="J105" s="14" t="str">
        <f>IFERROR(VLOOKUP(A:A,Assessment_Analysis_Ready!A:F,6,FALSE),"Not Available")</f>
        <v>Met</v>
      </c>
      <c r="K105" s="14">
        <f>IFERROR(VLOOKUP(A:A,Discipline_Analysis_Ready!A:C,3,FALSE),"Not Available")</f>
        <v>1</v>
      </c>
      <c r="L105" s="14">
        <f>IFERROR(VLOOKUP(A:A,Discipline_Analysis_Ready!A:D,4,FALSE),"Not Available")</f>
        <v>0</v>
      </c>
    </row>
    <row r="106" spans="1:12" x14ac:dyDescent="0.25">
      <c r="A106" s="15" t="s">
        <v>236</v>
      </c>
      <c r="B106" s="15" t="str">
        <f>VLOOKUP(A:A,Student_Analysis_Ready!A:H,8,FALSE)</f>
        <v>Charlotte Johnson</v>
      </c>
      <c r="C106" s="14">
        <f>VLOOKUP(A106,Student_Analysis_Ready!A:D,4,FALSE)</f>
        <v>8</v>
      </c>
      <c r="D106" s="14" t="str">
        <f>VLOOKUP(A:A,Student_Analysis_Ready!A:F,6,FALSE)</f>
        <v>Core</v>
      </c>
      <c r="E106" s="14" t="str">
        <f>VLOOKUP(A:A,Student_Analysis_Ready!A:E,5,FALSE)</f>
        <v>Active</v>
      </c>
      <c r="F106" s="14">
        <f>IFERROR(VLOOKUP(A:A,Attendence_Analysis_Ready!A:F,6,FALSE),"0")</f>
        <v>92.6</v>
      </c>
      <c r="G106" s="14" t="str">
        <f>IFERROR(VLOOKUP(A:A,Assessment_Analysis_Ready!A:C,3,FALSE),"Not Available")</f>
        <v>ELA</v>
      </c>
      <c r="H106" s="16">
        <f>IFERROR(VLOOKUP(A:A,Assessment_Analysis_Ready!A:D,4,FALSE),"Not Available")</f>
        <v>46114</v>
      </c>
      <c r="I106" s="14">
        <f>IFERROR(VLOOKUP(A:A,Assessment_Analysis_Ready!A:E,5,FALSE),"Not Available")</f>
        <v>88</v>
      </c>
      <c r="J106" s="14" t="str">
        <f>IFERROR(VLOOKUP(A:A,Assessment_Analysis_Ready!A:F,6,FALSE),"Not Available")</f>
        <v>Met</v>
      </c>
      <c r="K106" s="14">
        <f>IFERROR(VLOOKUP(A:A,Discipline_Analysis_Ready!A:C,3,FALSE),"Not Available")</f>
        <v>2</v>
      </c>
      <c r="L106" s="14">
        <f>IFERROR(VLOOKUP(A:A,Discipline_Analysis_Ready!A:D,4,FALSE),"Not Available")</f>
        <v>0</v>
      </c>
    </row>
    <row r="107" spans="1:12" x14ac:dyDescent="0.25">
      <c r="A107" s="15" t="s">
        <v>237</v>
      </c>
      <c r="B107" s="15" t="str">
        <f>VLOOKUP(A:A,Student_Analysis_Ready!A:H,8,FALSE)</f>
        <v>Henry Garcia</v>
      </c>
      <c r="C107" s="14">
        <f>VLOOKUP(A107,Student_Analysis_Ready!A:D,4,FALSE)</f>
        <v>7</v>
      </c>
      <c r="D107" s="14" t="str">
        <f>VLOOKUP(A:A,Student_Analysis_Ready!A:F,6,FALSE)</f>
        <v>Core</v>
      </c>
      <c r="E107" s="14" t="str">
        <f>VLOOKUP(A:A,Student_Analysis_Ready!A:E,5,FALSE)</f>
        <v>Active</v>
      </c>
      <c r="F107" s="14">
        <f>IFERROR(VLOOKUP(A:A,Attendence_Analysis_Ready!A:F,6,FALSE),"0")</f>
        <v>98.4</v>
      </c>
      <c r="G107" s="14" t="str">
        <f>IFERROR(VLOOKUP(A:A,Assessment_Analysis_Ready!A:C,3,FALSE),"Not Available")</f>
        <v>Math</v>
      </c>
      <c r="H107" s="16">
        <f>IFERROR(VLOOKUP(A:A,Assessment_Analysis_Ready!A:D,4,FALSE),"Not Available")</f>
        <v>46068</v>
      </c>
      <c r="I107" s="14">
        <f>IFERROR(VLOOKUP(A:A,Assessment_Analysis_Ready!A:E,5,FALSE),"Not Available")</f>
        <v>51</v>
      </c>
      <c r="J107" s="14" t="str">
        <f>IFERROR(VLOOKUP(A:A,Assessment_Analysis_Ready!A:F,6,FALSE),"Not Available")</f>
        <v>Below</v>
      </c>
      <c r="K107" s="14">
        <f>IFERROR(VLOOKUP(A:A,Discipline_Analysis_Ready!A:C,3,FALSE),"Not Available")</f>
        <v>1</v>
      </c>
      <c r="L107" s="14">
        <f>IFERROR(VLOOKUP(A:A,Discipline_Analysis_Ready!A:D,4,FALSE),"Not Available")</f>
        <v>1</v>
      </c>
    </row>
    <row r="108" spans="1:12" x14ac:dyDescent="0.25">
      <c r="A108" s="15" t="s">
        <v>238</v>
      </c>
      <c r="B108" s="15" t="str">
        <f>VLOOKUP(A:A,Student_Analysis_Ready!A:H,8,FALSE)</f>
        <v>Mia Taylor</v>
      </c>
      <c r="C108" s="14">
        <f>VLOOKUP(A108,Student_Analysis_Ready!A:D,4,FALSE)</f>
        <v>8</v>
      </c>
      <c r="D108" s="14" t="str">
        <f>VLOOKUP(A:A,Student_Analysis_Ready!A:F,6,FALSE)</f>
        <v>Core</v>
      </c>
      <c r="E108" s="14" t="str">
        <f>VLOOKUP(A:A,Student_Analysis_Ready!A:E,5,FALSE)</f>
        <v>Active</v>
      </c>
      <c r="F108" s="14">
        <f>IFERROR(VLOOKUP(A:A,Attendence_Analysis_Ready!A:F,6,FALSE),"0")</f>
        <v>79.400000000000006</v>
      </c>
      <c r="G108" s="14" t="str">
        <f>IFERROR(VLOOKUP(A:A,Assessment_Analysis_Ready!A:C,3,FALSE),"Not Available")</f>
        <v>Math</v>
      </c>
      <c r="H108" s="16">
        <f>IFERROR(VLOOKUP(A:A,Assessment_Analysis_Ready!A:D,4,FALSE),"Not Available")</f>
        <v>46082</v>
      </c>
      <c r="I108" s="14">
        <f>IFERROR(VLOOKUP(A:A,Assessment_Analysis_Ready!A:E,5,FALSE),"Not Available")</f>
        <v>61</v>
      </c>
      <c r="J108" s="14" t="str">
        <f>IFERROR(VLOOKUP(A:A,Assessment_Analysis_Ready!A:F,6,FALSE),"Not Available")</f>
        <v>Below</v>
      </c>
      <c r="K108" s="14">
        <f>IFERROR(VLOOKUP(A:A,Discipline_Analysis_Ready!A:C,3,FALSE),"Not Available")</f>
        <v>2</v>
      </c>
      <c r="L108" s="14">
        <f>IFERROR(VLOOKUP(A:A,Discipline_Analysis_Ready!A:D,4,FALSE),"Not Available")</f>
        <v>0</v>
      </c>
    </row>
    <row r="109" spans="1:12" x14ac:dyDescent="0.25">
      <c r="A109" s="15" t="s">
        <v>239</v>
      </c>
      <c r="B109" s="15" t="str">
        <f>VLOOKUP(A:A,Student_Analysis_Ready!A:H,8,FALSE)</f>
        <v>Ava Garcia</v>
      </c>
      <c r="C109" s="14">
        <f>VLOOKUP(A109,Student_Analysis_Ready!A:D,4,FALSE)</f>
        <v>5</v>
      </c>
      <c r="D109" s="14" t="str">
        <f>VLOOKUP(A:A,Student_Analysis_Ready!A:F,6,FALSE)</f>
        <v>Core</v>
      </c>
      <c r="E109" s="14" t="str">
        <f>VLOOKUP(A:A,Student_Analysis_Ready!A:E,5,FALSE)</f>
        <v>Active</v>
      </c>
      <c r="F109" s="14">
        <f>IFERROR(VLOOKUP(A:A,Attendence_Analysis_Ready!A:F,6,FALSE),"0")</f>
        <v>96.9</v>
      </c>
      <c r="G109" s="14" t="str">
        <f>IFERROR(VLOOKUP(A:A,Assessment_Analysis_Ready!A:C,3,FALSE),"Not Available")</f>
        <v>ELA</v>
      </c>
      <c r="H109" s="16">
        <f>IFERROR(VLOOKUP(A:A,Assessment_Analysis_Ready!A:D,4,FALSE),"Not Available")</f>
        <v>46052</v>
      </c>
      <c r="I109" s="14">
        <f>IFERROR(VLOOKUP(A:A,Assessment_Analysis_Ready!A:E,5,FALSE),"Not Available")</f>
        <v>92</v>
      </c>
      <c r="J109" s="14" t="str">
        <f>IFERROR(VLOOKUP(A:A,Assessment_Analysis_Ready!A:F,6,FALSE),"Not Available")</f>
        <v>Met</v>
      </c>
      <c r="K109" s="14">
        <f>IFERROR(VLOOKUP(A:A,Discipline_Analysis_Ready!A:C,3,FALSE),"Not Available")</f>
        <v>2</v>
      </c>
      <c r="L109" s="14">
        <f>IFERROR(VLOOKUP(A:A,Discipline_Analysis_Ready!A:D,4,FALSE),"Not Available")</f>
        <v>0</v>
      </c>
    </row>
    <row r="110" spans="1:12" x14ac:dyDescent="0.25">
      <c r="A110" s="15" t="s">
        <v>240</v>
      </c>
      <c r="B110" s="15" t="str">
        <f>VLOOKUP(A:A,Student_Analysis_Ready!A:H,8,FALSE)</f>
        <v>Emma Garcia</v>
      </c>
      <c r="C110" s="14">
        <f>VLOOKUP(A110,Student_Analysis_Ready!A:D,4,FALSE)</f>
        <v>5</v>
      </c>
      <c r="D110" s="14" t="str">
        <f>VLOOKUP(A:A,Student_Analysis_Ready!A:F,6,FALSE)</f>
        <v>MTSS Tier 2</v>
      </c>
      <c r="E110" s="14" t="str">
        <f>VLOOKUP(A:A,Student_Analysis_Ready!A:E,5,FALSE)</f>
        <v>Active</v>
      </c>
      <c r="F110" s="14">
        <f>IFERROR(VLOOKUP(A:A,Attendence_Analysis_Ready!A:F,6,FALSE),"0")</f>
        <v>97.7</v>
      </c>
      <c r="G110" s="14" t="str">
        <f>IFERROR(VLOOKUP(A:A,Assessment_Analysis_Ready!A:C,3,FALSE),"Not Available")</f>
        <v>ELA</v>
      </c>
      <c r="H110" s="16">
        <f>IFERROR(VLOOKUP(A:A,Assessment_Analysis_Ready!A:D,4,FALSE),"Not Available")</f>
        <v>46104</v>
      </c>
      <c r="I110" s="14">
        <f>IFERROR(VLOOKUP(A:A,Assessment_Analysis_Ready!A:E,5,FALSE),"Not Available")</f>
        <v>80</v>
      </c>
      <c r="J110" s="14" t="str">
        <f>IFERROR(VLOOKUP(A:A,Assessment_Analysis_Ready!A:F,6,FALSE),"Not Available")</f>
        <v>Met</v>
      </c>
      <c r="K110" s="14">
        <f>IFERROR(VLOOKUP(A:A,Discipline_Analysis_Ready!A:C,3,FALSE),"Not Available")</f>
        <v>2</v>
      </c>
      <c r="L110" s="14">
        <f>IFERROR(VLOOKUP(A:A,Discipline_Analysis_Ready!A:D,4,FALSE),"Not Available")</f>
        <v>0</v>
      </c>
    </row>
    <row r="111" spans="1:12" x14ac:dyDescent="0.25">
      <c r="A111" s="15" t="s">
        <v>241</v>
      </c>
      <c r="B111" s="15" t="str">
        <f>VLOOKUP(A:A,Student_Analysis_Ready!A:H,8,FALSE)</f>
        <v>Henry Johnson</v>
      </c>
      <c r="C111" s="14">
        <f>VLOOKUP(A111,Student_Analysis_Ready!A:D,4,FALSE)</f>
        <v>8</v>
      </c>
      <c r="D111" s="14" t="str">
        <f>VLOOKUP(A:A,Student_Analysis_Ready!A:F,6,FALSE)</f>
        <v>MTSS Tier 3</v>
      </c>
      <c r="E111" s="14" t="str">
        <f>VLOOKUP(A:A,Student_Analysis_Ready!A:E,5,FALSE)</f>
        <v>Active</v>
      </c>
      <c r="F111" s="14">
        <f>IFERROR(VLOOKUP(A:A,Attendence_Analysis_Ready!A:F,6,FALSE),"0")</f>
        <v>86.3</v>
      </c>
      <c r="G111" s="14" t="str">
        <f>IFERROR(VLOOKUP(A:A,Assessment_Analysis_Ready!A:C,3,FALSE),"Not Available")</f>
        <v>ELA</v>
      </c>
      <c r="H111" s="16">
        <f>IFERROR(VLOOKUP(A:A,Assessment_Analysis_Ready!A:D,4,FALSE),"Not Available")</f>
        <v>46073</v>
      </c>
      <c r="I111" s="14">
        <f>IFERROR(VLOOKUP(A:A,Assessment_Analysis_Ready!A:E,5,FALSE),"Not Available")</f>
        <v>100</v>
      </c>
      <c r="J111" s="14" t="str">
        <f>IFERROR(VLOOKUP(A:A,Assessment_Analysis_Ready!A:F,6,FALSE),"Not Available")</f>
        <v>Met</v>
      </c>
      <c r="K111" s="14">
        <f>IFERROR(VLOOKUP(A:A,Discipline_Analysis_Ready!A:C,3,FALSE),"Not Available")</f>
        <v>3</v>
      </c>
      <c r="L111" s="14">
        <f>IFERROR(VLOOKUP(A:A,Discipline_Analysis_Ready!A:D,4,FALSE),"Not Available")</f>
        <v>0</v>
      </c>
    </row>
    <row r="112" spans="1:12" x14ac:dyDescent="0.25">
      <c r="A112" s="15" t="s">
        <v>242</v>
      </c>
      <c r="B112" s="15" t="str">
        <f>VLOOKUP(A:A,Student_Analysis_Ready!A:H,8,FALSE)</f>
        <v>Olivia Wilson</v>
      </c>
      <c r="C112" s="14">
        <f>VLOOKUP(A112,Student_Analysis_Ready!A:D,4,FALSE)</f>
        <v>5</v>
      </c>
      <c r="D112" s="14" t="str">
        <f>VLOOKUP(A:A,Student_Analysis_Ready!A:F,6,FALSE)</f>
        <v>MTSS Tier 1</v>
      </c>
      <c r="E112" s="14" t="str">
        <f>VLOOKUP(A:A,Student_Analysis_Ready!A:E,5,FALSE)</f>
        <v>Active</v>
      </c>
      <c r="F112" s="14">
        <f>IFERROR(VLOOKUP(A:A,Attendence_Analysis_Ready!A:F,6,FALSE),"0")</f>
        <v>90</v>
      </c>
      <c r="G112" s="14" t="str">
        <f>IFERROR(VLOOKUP(A:A,Assessment_Analysis_Ready!A:C,3,FALSE),"Not Available")</f>
        <v>Science</v>
      </c>
      <c r="H112" s="16">
        <f>IFERROR(VLOOKUP(A:A,Assessment_Analysis_Ready!A:D,4,FALSE),"Not Available")</f>
        <v>46090</v>
      </c>
      <c r="I112" s="14">
        <f>IFERROR(VLOOKUP(A:A,Assessment_Analysis_Ready!A:E,5,FALSE),"Not Available")</f>
        <v>82</v>
      </c>
      <c r="J112" s="14" t="str">
        <f>IFERROR(VLOOKUP(A:A,Assessment_Analysis_Ready!A:F,6,FALSE),"Not Available")</f>
        <v>Met</v>
      </c>
      <c r="K112" s="14">
        <f>IFERROR(VLOOKUP(A:A,Discipline_Analysis_Ready!A:C,3,FALSE),"Not Available")</f>
        <v>0</v>
      </c>
      <c r="L112" s="14">
        <f>IFERROR(VLOOKUP(A:A,Discipline_Analysis_Ready!A:D,4,FALSE),"Not Available")</f>
        <v>0</v>
      </c>
    </row>
    <row r="113" spans="1:12" x14ac:dyDescent="0.25">
      <c r="A113" s="15" t="s">
        <v>243</v>
      </c>
      <c r="B113" s="15" t="str">
        <f>VLOOKUP(A:A,Student_Analysis_Ready!A:H,8,FALSE)</f>
        <v>Sophia Johnson</v>
      </c>
      <c r="C113" s="14">
        <f>VLOOKUP(A113,Student_Analysis_Ready!A:D,4,FALSE)</f>
        <v>8</v>
      </c>
      <c r="D113" s="14" t="str">
        <f>VLOOKUP(A:A,Student_Analysis_Ready!A:F,6,FALSE)</f>
        <v>Core</v>
      </c>
      <c r="E113" s="14" t="str">
        <f>VLOOKUP(A:A,Student_Analysis_Ready!A:E,5,FALSE)</f>
        <v>Active</v>
      </c>
      <c r="F113" s="14">
        <f>IFERROR(VLOOKUP(A:A,Attendence_Analysis_Ready!A:F,6,FALSE),"0")</f>
        <v>96.8</v>
      </c>
      <c r="G113" s="14" t="str">
        <f>IFERROR(VLOOKUP(A:A,Assessment_Analysis_Ready!A:C,3,FALSE),"Not Available")</f>
        <v>Math</v>
      </c>
      <c r="H113" s="16">
        <f>IFERROR(VLOOKUP(A:A,Assessment_Analysis_Ready!A:D,4,FALSE),"Not Available")</f>
        <v>46121</v>
      </c>
      <c r="I113" s="14">
        <f>IFERROR(VLOOKUP(A:A,Assessment_Analysis_Ready!A:E,5,FALSE),"Not Available")</f>
        <v>78</v>
      </c>
      <c r="J113" s="14" t="str">
        <f>IFERROR(VLOOKUP(A:A,Assessment_Analysis_Ready!A:F,6,FALSE),"Not Available")</f>
        <v>Met</v>
      </c>
      <c r="K113" s="14">
        <f>IFERROR(VLOOKUP(A:A,Discipline_Analysis_Ready!A:C,3,FALSE),"Not Available")</f>
        <v>4</v>
      </c>
      <c r="L113" s="14">
        <f>IFERROR(VLOOKUP(A:A,Discipline_Analysis_Ready!A:D,4,FALSE),"Not Available")</f>
        <v>0</v>
      </c>
    </row>
    <row r="114" spans="1:12" x14ac:dyDescent="0.25">
      <c r="A114" s="15" t="s">
        <v>244</v>
      </c>
      <c r="B114" s="15" t="str">
        <f>VLOOKUP(A:A,Student_Analysis_Ready!A:H,8,FALSE)</f>
        <v>Charlotte Miller</v>
      </c>
      <c r="C114" s="14">
        <f>VLOOKUP(A114,Student_Analysis_Ready!A:D,4,FALSE)</f>
        <v>7</v>
      </c>
      <c r="D114" s="14" t="str">
        <f>VLOOKUP(A:A,Student_Analysis_Ready!A:F,6,FALSE)</f>
        <v>Core</v>
      </c>
      <c r="E114" s="14" t="str">
        <f>VLOOKUP(A:A,Student_Analysis_Ready!A:E,5,FALSE)</f>
        <v>Active</v>
      </c>
      <c r="F114" s="14">
        <f>IFERROR(VLOOKUP(A:A,Attendence_Analysis_Ready!A:F,6,FALSE),"0")</f>
        <v>91.5</v>
      </c>
      <c r="G114" s="14" t="str">
        <f>IFERROR(VLOOKUP(A:A,Assessment_Analysis_Ready!A:C,3,FALSE),"Not Available")</f>
        <v>Math</v>
      </c>
      <c r="H114" s="16">
        <f>IFERROR(VLOOKUP(A:A,Assessment_Analysis_Ready!A:D,4,FALSE),"Not Available")</f>
        <v>46050</v>
      </c>
      <c r="I114" s="14">
        <f>IFERROR(VLOOKUP(A:A,Assessment_Analysis_Ready!A:E,5,FALSE),"Not Available")</f>
        <v>97</v>
      </c>
      <c r="J114" s="14" t="str">
        <f>IFERROR(VLOOKUP(A:A,Assessment_Analysis_Ready!A:F,6,FALSE),"Not Available")</f>
        <v>Met</v>
      </c>
      <c r="K114" s="14">
        <f>IFERROR(VLOOKUP(A:A,Discipline_Analysis_Ready!A:C,3,FALSE),"Not Available")</f>
        <v>2</v>
      </c>
      <c r="L114" s="14">
        <f>IFERROR(VLOOKUP(A:A,Discipline_Analysis_Ready!A:D,4,FALSE),"Not Available")</f>
        <v>0</v>
      </c>
    </row>
    <row r="115" spans="1:12" x14ac:dyDescent="0.25">
      <c r="A115" s="15" t="s">
        <v>245</v>
      </c>
      <c r="B115" s="15" t="str">
        <f>VLOOKUP(A:A,Student_Analysis_Ready!A:H,8,FALSE)</f>
        <v>Charlotte Brown</v>
      </c>
      <c r="C115" s="14">
        <f>VLOOKUP(A115,Student_Analysis_Ready!A:D,4,FALSE)</f>
        <v>8</v>
      </c>
      <c r="D115" s="14" t="str">
        <f>VLOOKUP(A:A,Student_Analysis_Ready!A:F,6,FALSE)</f>
        <v>MTSS Tier 2</v>
      </c>
      <c r="E115" s="14" t="str">
        <f>VLOOKUP(A:A,Student_Analysis_Ready!A:E,5,FALSE)</f>
        <v>Active</v>
      </c>
      <c r="F115" s="14">
        <f>IFERROR(VLOOKUP(A:A,Attendence_Analysis_Ready!A:F,6,FALSE),"0")</f>
        <v>92.2</v>
      </c>
      <c r="G115" s="14" t="str">
        <f>IFERROR(VLOOKUP(A:A,Assessment_Analysis_Ready!A:C,3,FALSE),"Not Available")</f>
        <v>Science</v>
      </c>
      <c r="H115" s="16">
        <f>IFERROR(VLOOKUP(A:A,Assessment_Analysis_Ready!A:D,4,FALSE),"Not Available")</f>
        <v>46091</v>
      </c>
      <c r="I115" s="14">
        <f>IFERROR(VLOOKUP(A:A,Assessment_Analysis_Ready!A:E,5,FALSE),"Not Available")</f>
        <v>88</v>
      </c>
      <c r="J115" s="14" t="str">
        <f>IFERROR(VLOOKUP(A:A,Assessment_Analysis_Ready!A:F,6,FALSE),"Not Available")</f>
        <v>Met</v>
      </c>
      <c r="K115" s="14">
        <f>IFERROR(VLOOKUP(A:A,Discipline_Analysis_Ready!A:C,3,FALSE),"Not Available")</f>
        <v>2</v>
      </c>
      <c r="L115" s="14">
        <f>IFERROR(VLOOKUP(A:A,Discipline_Analysis_Ready!A:D,4,FALSE),"Not Available")</f>
        <v>0</v>
      </c>
    </row>
    <row r="116" spans="1:12" x14ac:dyDescent="0.25">
      <c r="A116" s="15" t="s">
        <v>246</v>
      </c>
      <c r="B116" s="15" t="str">
        <f>VLOOKUP(A:A,Student_Analysis_Ready!A:H,8,FALSE)</f>
        <v>Mason Davis</v>
      </c>
      <c r="C116" s="14">
        <f>VLOOKUP(A116,Student_Analysis_Ready!A:D,4,FALSE)</f>
        <v>7</v>
      </c>
      <c r="D116" s="14" t="str">
        <f>VLOOKUP(A:A,Student_Analysis_Ready!A:F,6,FALSE)</f>
        <v>MTSS Tier 2</v>
      </c>
      <c r="E116" s="14" t="str">
        <f>VLOOKUP(A:A,Student_Analysis_Ready!A:E,5,FALSE)</f>
        <v>Active</v>
      </c>
      <c r="F116" s="14">
        <f>IFERROR(VLOOKUP(A:A,Attendence_Analysis_Ready!A:F,6,FALSE),"0")</f>
        <v>88.9</v>
      </c>
      <c r="G116" s="14" t="str">
        <f>IFERROR(VLOOKUP(A:A,Assessment_Analysis_Ready!A:C,3,FALSE),"Not Available")</f>
        <v>ELA</v>
      </c>
      <c r="H116" s="16">
        <f>IFERROR(VLOOKUP(A:A,Assessment_Analysis_Ready!A:D,4,FALSE),"Not Available")</f>
        <v>46084</v>
      </c>
      <c r="I116" s="14">
        <f>IFERROR(VLOOKUP(A:A,Assessment_Analysis_Ready!A:E,5,FALSE),"Not Available")</f>
        <v>74</v>
      </c>
      <c r="J116" s="14" t="str">
        <f>IFERROR(VLOOKUP(A:A,Assessment_Analysis_Ready!A:F,6,FALSE),"Not Available")</f>
        <v>Met</v>
      </c>
      <c r="K116" s="14">
        <f>IFERROR(VLOOKUP(A:A,Discipline_Analysis_Ready!A:C,3,FALSE),"Not Available")</f>
        <v>0</v>
      </c>
      <c r="L116" s="14">
        <f>IFERROR(VLOOKUP(A:A,Discipline_Analysis_Ready!A:D,4,FALSE),"Not Available")</f>
        <v>0</v>
      </c>
    </row>
    <row r="117" spans="1:12" x14ac:dyDescent="0.25">
      <c r="A117" s="15" t="s">
        <v>247</v>
      </c>
      <c r="B117" s="15" t="str">
        <f>VLOOKUP(A:A,Student_Analysis_Ready!A:H,8,FALSE)</f>
        <v>Amelia Wilson</v>
      </c>
      <c r="C117" s="14">
        <f>VLOOKUP(A117,Student_Analysis_Ready!A:D,4,FALSE)</f>
        <v>8</v>
      </c>
      <c r="D117" s="14" t="str">
        <f>VLOOKUP(A:A,Student_Analysis_Ready!A:F,6,FALSE)</f>
        <v>Core</v>
      </c>
      <c r="E117" s="14" t="str">
        <f>VLOOKUP(A:A,Student_Analysis_Ready!A:E,5,FALSE)</f>
        <v>Active</v>
      </c>
      <c r="F117" s="14">
        <f>IFERROR(VLOOKUP(A:A,Attendence_Analysis_Ready!A:F,6,FALSE),"0")</f>
        <v>95.3</v>
      </c>
      <c r="G117" s="14" t="str">
        <f>IFERROR(VLOOKUP(A:A,Assessment_Analysis_Ready!A:C,3,FALSE),"Not Available")</f>
        <v>Science</v>
      </c>
      <c r="H117" s="16">
        <f>IFERROR(VLOOKUP(A:A,Assessment_Analysis_Ready!A:D,4,FALSE),"Not Available")</f>
        <v>46118</v>
      </c>
      <c r="I117" s="14">
        <f>IFERROR(VLOOKUP(A:A,Assessment_Analysis_Ready!A:E,5,FALSE),"Not Available")</f>
        <v>63</v>
      </c>
      <c r="J117" s="14" t="str">
        <f>IFERROR(VLOOKUP(A:A,Assessment_Analysis_Ready!A:F,6,FALSE),"Not Available")</f>
        <v>Below</v>
      </c>
      <c r="K117" s="14">
        <f>IFERROR(VLOOKUP(A:A,Discipline_Analysis_Ready!A:C,3,FALSE),"Not Available")</f>
        <v>0</v>
      </c>
      <c r="L117" s="14">
        <f>IFERROR(VLOOKUP(A:A,Discipline_Analysis_Ready!A:D,4,FALSE),"Not Available")</f>
        <v>0</v>
      </c>
    </row>
    <row r="118" spans="1:12" x14ac:dyDescent="0.25">
      <c r="A118" s="15" t="s">
        <v>248</v>
      </c>
      <c r="B118" s="15" t="str">
        <f>VLOOKUP(A:A,Student_Analysis_Ready!A:H,8,FALSE)</f>
        <v>Ella Smith</v>
      </c>
      <c r="C118" s="14">
        <f>VLOOKUP(A118,Student_Analysis_Ready!A:D,4,FALSE)</f>
        <v>5</v>
      </c>
      <c r="D118" s="14" t="str">
        <f>VLOOKUP(A:A,Student_Analysis_Ready!A:F,6,FALSE)</f>
        <v>MTSS Tier 1</v>
      </c>
      <c r="E118" s="14" t="str">
        <f>VLOOKUP(A:A,Student_Analysis_Ready!A:E,5,FALSE)</f>
        <v>Active</v>
      </c>
      <c r="F118" s="14">
        <f>IFERROR(VLOOKUP(A:A,Attendence_Analysis_Ready!A:F,6,FALSE),"0")</f>
        <v>95.2</v>
      </c>
      <c r="G118" s="14" t="str">
        <f>IFERROR(VLOOKUP(A:A,Assessment_Analysis_Ready!A:C,3,FALSE),"Not Available")</f>
        <v>Science</v>
      </c>
      <c r="H118" s="16">
        <f>IFERROR(VLOOKUP(A:A,Assessment_Analysis_Ready!A:D,4,FALSE),"Not Available")</f>
        <v>46043</v>
      </c>
      <c r="I118" s="14">
        <f>IFERROR(VLOOKUP(A:A,Assessment_Analysis_Ready!A:E,5,FALSE),"Not Available")</f>
        <v>48</v>
      </c>
      <c r="J118" s="14" t="str">
        <f>IFERROR(VLOOKUP(A:A,Assessment_Analysis_Ready!A:F,6,FALSE),"Not Available")</f>
        <v>Below</v>
      </c>
      <c r="K118" s="14">
        <f>IFERROR(VLOOKUP(A:A,Discipline_Analysis_Ready!A:C,3,FALSE),"Not Available")</f>
        <v>2</v>
      </c>
      <c r="L118" s="14">
        <f>IFERROR(VLOOKUP(A:A,Discipline_Analysis_Ready!A:D,4,FALSE),"Not Available")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EF15-3E76-4531-96A3-820A60B87376}">
  <dimension ref="A3:E8"/>
  <sheetViews>
    <sheetView topLeftCell="B1" workbookViewId="0">
      <selection activeCell="E12" sqref="E12"/>
    </sheetView>
  </sheetViews>
  <sheetFormatPr defaultRowHeight="15" x14ac:dyDescent="0.25"/>
  <cols>
    <col min="1" max="1" width="11.28515625" bestFit="1" customWidth="1"/>
    <col min="2" max="2" width="19.28515625" bestFit="1" customWidth="1"/>
    <col min="3" max="3" width="25" bestFit="1" customWidth="1"/>
    <col min="4" max="4" width="25.28515625" bestFit="1" customWidth="1"/>
    <col min="5" max="5" width="21.85546875" bestFit="1" customWidth="1"/>
  </cols>
  <sheetData>
    <row r="3" spans="1:5" x14ac:dyDescent="0.25">
      <c r="A3" s="19" t="s">
        <v>18</v>
      </c>
      <c r="B3" s="21" t="s">
        <v>392</v>
      </c>
      <c r="C3" t="s">
        <v>393</v>
      </c>
      <c r="D3" t="s">
        <v>404</v>
      </c>
      <c r="E3" t="s">
        <v>405</v>
      </c>
    </row>
    <row r="4" spans="1:5" x14ac:dyDescent="0.25">
      <c r="A4" s="20">
        <v>5</v>
      </c>
      <c r="B4" s="21">
        <v>91.485185185185188</v>
      </c>
      <c r="C4" s="21">
        <v>80.481481481481481</v>
      </c>
      <c r="D4">
        <v>32</v>
      </c>
      <c r="E4">
        <v>1</v>
      </c>
    </row>
    <row r="5" spans="1:5" x14ac:dyDescent="0.25">
      <c r="A5" s="20">
        <v>6</v>
      </c>
      <c r="B5" s="21">
        <v>91.28</v>
      </c>
      <c r="C5" s="21">
        <v>75.8</v>
      </c>
      <c r="D5">
        <v>32</v>
      </c>
      <c r="E5">
        <v>4</v>
      </c>
    </row>
    <row r="6" spans="1:5" x14ac:dyDescent="0.25">
      <c r="A6" s="20">
        <v>7</v>
      </c>
      <c r="B6" s="21">
        <v>93.477272727272734</v>
      </c>
      <c r="C6" s="21">
        <v>76.956521739130437</v>
      </c>
      <c r="D6">
        <v>22</v>
      </c>
      <c r="E6">
        <v>3</v>
      </c>
    </row>
    <row r="7" spans="1:5" x14ac:dyDescent="0.25">
      <c r="A7" s="20">
        <v>8</v>
      </c>
      <c r="B7" s="21">
        <v>91.534146341463412</v>
      </c>
      <c r="C7" s="21">
        <v>78.615384615384613</v>
      </c>
      <c r="D7">
        <v>64</v>
      </c>
      <c r="E7">
        <v>5</v>
      </c>
    </row>
    <row r="8" spans="1:5" x14ac:dyDescent="0.25">
      <c r="A8" s="20" t="s">
        <v>397</v>
      </c>
      <c r="B8" s="21">
        <v>91.839130434782618</v>
      </c>
      <c r="C8" s="21">
        <v>78.10526315789474</v>
      </c>
      <c r="D8">
        <v>150</v>
      </c>
      <c r="E8">
        <v>13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7C5A-40A3-483E-AFE8-94E7F4BA4B5E}">
  <dimension ref="A1:E6"/>
  <sheetViews>
    <sheetView workbookViewId="0">
      <selection activeCell="H16" sqref="H16"/>
    </sheetView>
  </sheetViews>
  <sheetFormatPr defaultRowHeight="15" x14ac:dyDescent="0.25"/>
  <cols>
    <col min="1" max="1" width="13.140625" bestFit="1" customWidth="1"/>
    <col min="2" max="2" width="26.85546875" bestFit="1" customWidth="1"/>
    <col min="3" max="3" width="28" bestFit="1" customWidth="1"/>
    <col min="4" max="4" width="26" bestFit="1" customWidth="1"/>
    <col min="5" max="5" width="22.42578125" bestFit="1" customWidth="1"/>
  </cols>
  <sheetData>
    <row r="1" spans="1:5" x14ac:dyDescent="0.25">
      <c r="A1" s="19" t="s">
        <v>26</v>
      </c>
      <c r="B1" t="s">
        <v>398</v>
      </c>
      <c r="C1" t="s">
        <v>399</v>
      </c>
      <c r="D1" t="s">
        <v>400</v>
      </c>
      <c r="E1" t="s">
        <v>401</v>
      </c>
    </row>
    <row r="2" spans="1:5" x14ac:dyDescent="0.25">
      <c r="A2" s="20" t="s">
        <v>105</v>
      </c>
      <c r="B2" s="21">
        <v>93.153448275862047</v>
      </c>
      <c r="C2" s="21">
        <v>78.75</v>
      </c>
      <c r="D2">
        <v>74</v>
      </c>
      <c r="E2">
        <v>8</v>
      </c>
    </row>
    <row r="3" spans="1:5" x14ac:dyDescent="0.25">
      <c r="A3" s="20" t="s">
        <v>99</v>
      </c>
      <c r="B3" s="21">
        <v>90.231034482758616</v>
      </c>
      <c r="C3" s="21">
        <v>74.709677419354833</v>
      </c>
      <c r="D3">
        <v>39</v>
      </c>
      <c r="E3">
        <v>3</v>
      </c>
    </row>
    <row r="4" spans="1:5" x14ac:dyDescent="0.25">
      <c r="A4" s="20" t="s">
        <v>94</v>
      </c>
      <c r="B4" s="21">
        <v>90.716666666666669</v>
      </c>
      <c r="C4" s="21">
        <v>80.058823529411768</v>
      </c>
      <c r="D4">
        <v>15</v>
      </c>
      <c r="E4">
        <v>0</v>
      </c>
    </row>
    <row r="5" spans="1:5" x14ac:dyDescent="0.25">
      <c r="A5" s="20" t="s">
        <v>146</v>
      </c>
      <c r="B5" s="21">
        <v>90.899999999999991</v>
      </c>
      <c r="C5" s="21">
        <v>81.7</v>
      </c>
      <c r="D5">
        <v>22</v>
      </c>
      <c r="E5">
        <v>2</v>
      </c>
    </row>
    <row r="6" spans="1:5" x14ac:dyDescent="0.25">
      <c r="A6" s="20" t="s">
        <v>397</v>
      </c>
      <c r="B6" s="21">
        <v>91.839130434782575</v>
      </c>
      <c r="C6" s="21">
        <v>78.10526315789474</v>
      </c>
      <c r="D6">
        <v>150</v>
      </c>
      <c r="E6">
        <v>13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CDEB-7B4C-4155-9E24-9325E6883D47}">
  <dimension ref="B5:C89"/>
  <sheetViews>
    <sheetView workbookViewId="0">
      <selection activeCell="H25" sqref="H25"/>
    </sheetView>
  </sheetViews>
  <sheetFormatPr defaultRowHeight="15" x14ac:dyDescent="0.25"/>
  <cols>
    <col min="1" max="1" width="13.140625" bestFit="1" customWidth="1"/>
    <col min="2" max="2" width="18.42578125" customWidth="1"/>
    <col min="3" max="3" width="27.42578125" customWidth="1"/>
    <col min="4" max="4" width="13.140625" bestFit="1" customWidth="1"/>
    <col min="5" max="5" width="28" bestFit="1" customWidth="1"/>
    <col min="7" max="7" width="13.140625" bestFit="1" customWidth="1"/>
    <col min="8" max="8" width="28" bestFit="1" customWidth="1"/>
  </cols>
  <sheetData>
    <row r="5" spans="2:3" x14ac:dyDescent="0.25">
      <c r="B5" s="19" t="s">
        <v>408</v>
      </c>
      <c r="C5" s="21" t="s">
        <v>399</v>
      </c>
    </row>
    <row r="6" spans="2:3" x14ac:dyDescent="0.25">
      <c r="B6" s="20">
        <v>75</v>
      </c>
      <c r="C6" s="27">
        <v>85</v>
      </c>
    </row>
    <row r="7" spans="2:3" x14ac:dyDescent="0.25">
      <c r="B7" s="20">
        <v>75.3</v>
      </c>
      <c r="C7" s="27">
        <v>86</v>
      </c>
    </row>
    <row r="8" spans="2:3" x14ac:dyDescent="0.25">
      <c r="B8" s="20">
        <v>76.3</v>
      </c>
      <c r="C8" s="27">
        <v>100</v>
      </c>
    </row>
    <row r="9" spans="2:3" x14ac:dyDescent="0.25">
      <c r="B9" s="20">
        <v>79.2</v>
      </c>
      <c r="C9" s="27"/>
    </row>
    <row r="10" spans="2:3" x14ac:dyDescent="0.25">
      <c r="B10" s="20">
        <v>79.400000000000006</v>
      </c>
      <c r="C10" s="27">
        <v>69</v>
      </c>
    </row>
    <row r="11" spans="2:3" x14ac:dyDescent="0.25">
      <c r="B11" s="20">
        <v>80.400000000000006</v>
      </c>
      <c r="C11" s="27">
        <v>79</v>
      </c>
    </row>
    <row r="12" spans="2:3" x14ac:dyDescent="0.25">
      <c r="B12" s="20">
        <v>81.099999999999994</v>
      </c>
      <c r="C12" s="27">
        <v>70</v>
      </c>
    </row>
    <row r="13" spans="2:3" x14ac:dyDescent="0.25">
      <c r="B13" s="20">
        <v>81.599999999999994</v>
      </c>
      <c r="C13" s="27">
        <v>61</v>
      </c>
    </row>
    <row r="14" spans="2:3" x14ac:dyDescent="0.25">
      <c r="B14" s="20">
        <v>82.1</v>
      </c>
      <c r="C14" s="27">
        <v>89</v>
      </c>
    </row>
    <row r="15" spans="2:3" x14ac:dyDescent="0.25">
      <c r="B15" s="20">
        <v>83.3</v>
      </c>
      <c r="C15" s="27">
        <v>71</v>
      </c>
    </row>
    <row r="16" spans="2:3" x14ac:dyDescent="0.25">
      <c r="B16" s="20">
        <v>83.6</v>
      </c>
      <c r="C16" s="27">
        <v>75</v>
      </c>
    </row>
    <row r="17" spans="2:3" x14ac:dyDescent="0.25">
      <c r="B17" s="20">
        <v>83.8</v>
      </c>
      <c r="C17" s="27">
        <v>80.5</v>
      </c>
    </row>
    <row r="18" spans="2:3" x14ac:dyDescent="0.25">
      <c r="B18" s="20">
        <v>84.2</v>
      </c>
      <c r="C18" s="27">
        <v>86.5</v>
      </c>
    </row>
    <row r="19" spans="2:3" x14ac:dyDescent="0.25">
      <c r="B19" s="20">
        <v>84.4</v>
      </c>
      <c r="C19" s="27">
        <v>66</v>
      </c>
    </row>
    <row r="20" spans="2:3" x14ac:dyDescent="0.25">
      <c r="B20" s="20">
        <v>84.5</v>
      </c>
      <c r="C20" s="27">
        <v>87</v>
      </c>
    </row>
    <row r="21" spans="2:3" x14ac:dyDescent="0.25">
      <c r="B21" s="20">
        <v>84.6</v>
      </c>
      <c r="C21" s="27">
        <v>73.5</v>
      </c>
    </row>
    <row r="22" spans="2:3" x14ac:dyDescent="0.25">
      <c r="B22" s="20">
        <v>85.4</v>
      </c>
      <c r="C22" s="27">
        <v>79</v>
      </c>
    </row>
    <row r="23" spans="2:3" x14ac:dyDescent="0.25">
      <c r="B23" s="20">
        <v>85.5</v>
      </c>
      <c r="C23" s="27">
        <v>67</v>
      </c>
    </row>
    <row r="24" spans="2:3" x14ac:dyDescent="0.25">
      <c r="B24" s="20">
        <v>86.1</v>
      </c>
      <c r="C24" s="27">
        <v>72</v>
      </c>
    </row>
    <row r="25" spans="2:3" x14ac:dyDescent="0.25">
      <c r="B25" s="20">
        <v>86.3</v>
      </c>
      <c r="C25" s="27">
        <v>100</v>
      </c>
    </row>
    <row r="26" spans="2:3" x14ac:dyDescent="0.25">
      <c r="B26" s="20">
        <v>86.7</v>
      </c>
      <c r="C26" s="27">
        <v>93</v>
      </c>
    </row>
    <row r="27" spans="2:3" x14ac:dyDescent="0.25">
      <c r="B27" s="20">
        <v>87.1</v>
      </c>
      <c r="C27" s="27">
        <v>92</v>
      </c>
    </row>
    <row r="28" spans="2:3" x14ac:dyDescent="0.25">
      <c r="B28" s="20">
        <v>87.9</v>
      </c>
      <c r="C28" s="27">
        <v>87.5</v>
      </c>
    </row>
    <row r="29" spans="2:3" x14ac:dyDescent="0.25">
      <c r="B29" s="20">
        <v>88.4</v>
      </c>
      <c r="C29" s="27">
        <v>58</v>
      </c>
    </row>
    <row r="30" spans="2:3" x14ac:dyDescent="0.25">
      <c r="B30" s="20">
        <v>88.6</v>
      </c>
      <c r="C30" s="27">
        <v>81.5</v>
      </c>
    </row>
    <row r="31" spans="2:3" x14ac:dyDescent="0.25">
      <c r="B31" s="20">
        <v>88.7</v>
      </c>
      <c r="C31" s="27">
        <v>85</v>
      </c>
    </row>
    <row r="32" spans="2:3" x14ac:dyDescent="0.25">
      <c r="B32" s="20">
        <v>88.9</v>
      </c>
      <c r="C32" s="27">
        <v>74</v>
      </c>
    </row>
    <row r="33" spans="2:3" x14ac:dyDescent="0.25">
      <c r="B33" s="20">
        <v>89.1</v>
      </c>
      <c r="C33" s="27">
        <v>65</v>
      </c>
    </row>
    <row r="34" spans="2:3" x14ac:dyDescent="0.25">
      <c r="B34" s="20">
        <v>89.3</v>
      </c>
      <c r="C34" s="27">
        <v>76</v>
      </c>
    </row>
    <row r="35" spans="2:3" x14ac:dyDescent="0.25">
      <c r="B35" s="20">
        <v>89.9</v>
      </c>
      <c r="C35" s="27">
        <v>66</v>
      </c>
    </row>
    <row r="36" spans="2:3" x14ac:dyDescent="0.25">
      <c r="B36" s="20">
        <v>90</v>
      </c>
      <c r="C36" s="27">
        <v>82</v>
      </c>
    </row>
    <row r="37" spans="2:3" x14ac:dyDescent="0.25">
      <c r="B37" s="20">
        <v>90.6</v>
      </c>
      <c r="C37" s="27">
        <v>74</v>
      </c>
    </row>
    <row r="38" spans="2:3" x14ac:dyDescent="0.25">
      <c r="B38" s="20">
        <v>91.1</v>
      </c>
      <c r="C38" s="27">
        <v>78</v>
      </c>
    </row>
    <row r="39" spans="2:3" x14ac:dyDescent="0.25">
      <c r="B39" s="20">
        <v>91.2</v>
      </c>
      <c r="C39" s="27">
        <v>75</v>
      </c>
    </row>
    <row r="40" spans="2:3" x14ac:dyDescent="0.25">
      <c r="B40" s="20">
        <v>91.5</v>
      </c>
      <c r="C40" s="27">
        <v>97</v>
      </c>
    </row>
    <row r="41" spans="2:3" x14ac:dyDescent="0.25">
      <c r="B41" s="20">
        <v>91.7</v>
      </c>
      <c r="C41" s="27">
        <v>85</v>
      </c>
    </row>
    <row r="42" spans="2:3" x14ac:dyDescent="0.25">
      <c r="B42" s="20">
        <v>91.8</v>
      </c>
      <c r="C42" s="27">
        <v>85.5</v>
      </c>
    </row>
    <row r="43" spans="2:3" x14ac:dyDescent="0.25">
      <c r="B43" s="20">
        <v>92</v>
      </c>
      <c r="C43" s="27">
        <v>72</v>
      </c>
    </row>
    <row r="44" spans="2:3" x14ac:dyDescent="0.25">
      <c r="B44" s="20">
        <v>92.2</v>
      </c>
      <c r="C44" s="27">
        <v>88</v>
      </c>
    </row>
    <row r="45" spans="2:3" x14ac:dyDescent="0.25">
      <c r="B45" s="20">
        <v>92.4</v>
      </c>
      <c r="C45" s="27">
        <v>76</v>
      </c>
    </row>
    <row r="46" spans="2:3" x14ac:dyDescent="0.25">
      <c r="B46" s="20">
        <v>92.6</v>
      </c>
      <c r="C46" s="27">
        <v>88</v>
      </c>
    </row>
    <row r="47" spans="2:3" x14ac:dyDescent="0.25">
      <c r="B47" s="20">
        <v>93</v>
      </c>
      <c r="C47" s="27">
        <v>86</v>
      </c>
    </row>
    <row r="48" spans="2:3" x14ac:dyDescent="0.25">
      <c r="B48" s="20">
        <v>93.1</v>
      </c>
      <c r="C48" s="21">
        <v>81.666666666666671</v>
      </c>
    </row>
    <row r="49" spans="2:3" x14ac:dyDescent="0.25">
      <c r="B49" s="20">
        <v>93.3</v>
      </c>
      <c r="C49" s="27">
        <v>74.5</v>
      </c>
    </row>
    <row r="50" spans="2:3" x14ac:dyDescent="0.25">
      <c r="B50" s="20">
        <v>93.5</v>
      </c>
      <c r="C50" s="27">
        <v>87</v>
      </c>
    </row>
    <row r="51" spans="2:3" x14ac:dyDescent="0.25">
      <c r="B51" s="20">
        <v>93.6</v>
      </c>
      <c r="C51" s="27">
        <v>62.5</v>
      </c>
    </row>
    <row r="52" spans="2:3" x14ac:dyDescent="0.25">
      <c r="B52" s="20">
        <v>93.7</v>
      </c>
      <c r="C52" s="27">
        <v>65</v>
      </c>
    </row>
    <row r="53" spans="2:3" x14ac:dyDescent="0.25">
      <c r="B53" s="20">
        <v>93.8</v>
      </c>
      <c r="C53" s="27">
        <v>84</v>
      </c>
    </row>
    <row r="54" spans="2:3" x14ac:dyDescent="0.25">
      <c r="B54" s="20">
        <v>94</v>
      </c>
      <c r="C54" s="27">
        <v>69</v>
      </c>
    </row>
    <row r="55" spans="2:3" x14ac:dyDescent="0.25">
      <c r="B55" s="20">
        <v>94.6</v>
      </c>
      <c r="C55" s="27">
        <v>82.5</v>
      </c>
    </row>
    <row r="56" spans="2:3" x14ac:dyDescent="0.25">
      <c r="B56" s="20">
        <v>94.7</v>
      </c>
      <c r="C56" s="27">
        <v>100</v>
      </c>
    </row>
    <row r="57" spans="2:3" x14ac:dyDescent="0.25">
      <c r="B57" s="20">
        <v>94.9</v>
      </c>
      <c r="C57" s="27">
        <v>92.5</v>
      </c>
    </row>
    <row r="58" spans="2:3" x14ac:dyDescent="0.25">
      <c r="B58" s="20">
        <v>95.1</v>
      </c>
      <c r="C58" s="27">
        <v>79</v>
      </c>
    </row>
    <row r="59" spans="2:3" x14ac:dyDescent="0.25">
      <c r="B59" s="20">
        <v>95.2</v>
      </c>
      <c r="C59" s="27">
        <v>48</v>
      </c>
    </row>
    <row r="60" spans="2:3" x14ac:dyDescent="0.25">
      <c r="B60" s="20">
        <v>95.3</v>
      </c>
      <c r="C60" s="27">
        <v>64</v>
      </c>
    </row>
    <row r="61" spans="2:3" x14ac:dyDescent="0.25">
      <c r="B61" s="20">
        <v>95.4</v>
      </c>
      <c r="C61" s="27">
        <v>78</v>
      </c>
    </row>
    <row r="62" spans="2:3" x14ac:dyDescent="0.25">
      <c r="B62" s="20">
        <v>95.5</v>
      </c>
      <c r="C62" s="27">
        <v>83</v>
      </c>
    </row>
    <row r="63" spans="2:3" x14ac:dyDescent="0.25">
      <c r="B63" s="20">
        <v>95.6</v>
      </c>
      <c r="C63" s="27">
        <v>83</v>
      </c>
    </row>
    <row r="64" spans="2:3" x14ac:dyDescent="0.25">
      <c r="B64" s="20">
        <v>95.7</v>
      </c>
      <c r="C64" s="27"/>
    </row>
    <row r="65" spans="2:3" x14ac:dyDescent="0.25">
      <c r="B65" s="20">
        <v>95.9</v>
      </c>
      <c r="C65" s="27">
        <v>90</v>
      </c>
    </row>
    <row r="66" spans="2:3" x14ac:dyDescent="0.25">
      <c r="B66" s="20">
        <v>96</v>
      </c>
      <c r="C66" s="27">
        <v>79.5</v>
      </c>
    </row>
    <row r="67" spans="2:3" x14ac:dyDescent="0.25">
      <c r="B67" s="20">
        <v>96.2</v>
      </c>
      <c r="C67" s="27">
        <v>100</v>
      </c>
    </row>
    <row r="68" spans="2:3" x14ac:dyDescent="0.25">
      <c r="B68" s="20">
        <v>96.3</v>
      </c>
      <c r="C68" s="27">
        <v>85.5</v>
      </c>
    </row>
    <row r="69" spans="2:3" x14ac:dyDescent="0.25">
      <c r="B69" s="20">
        <v>96.8</v>
      </c>
      <c r="C69" s="27">
        <v>78</v>
      </c>
    </row>
    <row r="70" spans="2:3" x14ac:dyDescent="0.25">
      <c r="B70" s="20">
        <v>96.9</v>
      </c>
      <c r="C70" s="27">
        <v>67.5</v>
      </c>
    </row>
    <row r="71" spans="2:3" x14ac:dyDescent="0.25">
      <c r="B71" s="20">
        <v>97.2</v>
      </c>
      <c r="C71" s="27">
        <v>80</v>
      </c>
    </row>
    <row r="72" spans="2:3" x14ac:dyDescent="0.25">
      <c r="B72" s="20">
        <v>97.4</v>
      </c>
      <c r="C72" s="27">
        <v>61</v>
      </c>
    </row>
    <row r="73" spans="2:3" x14ac:dyDescent="0.25">
      <c r="B73" s="20">
        <v>97.6</v>
      </c>
      <c r="C73" s="27">
        <v>60</v>
      </c>
    </row>
    <row r="74" spans="2:3" x14ac:dyDescent="0.25">
      <c r="B74" s="20">
        <v>97.7</v>
      </c>
      <c r="C74" s="27">
        <v>77</v>
      </c>
    </row>
    <row r="75" spans="2:3" x14ac:dyDescent="0.25">
      <c r="B75" s="20">
        <v>98</v>
      </c>
      <c r="C75" s="27">
        <v>55</v>
      </c>
    </row>
    <row r="76" spans="2:3" x14ac:dyDescent="0.25">
      <c r="B76" s="20">
        <v>98.1</v>
      </c>
      <c r="C76" s="27">
        <v>83</v>
      </c>
    </row>
    <row r="77" spans="2:3" x14ac:dyDescent="0.25">
      <c r="B77" s="20">
        <v>98.2</v>
      </c>
      <c r="C77" s="27">
        <v>75</v>
      </c>
    </row>
    <row r="78" spans="2:3" x14ac:dyDescent="0.25">
      <c r="B78" s="20">
        <v>98.3</v>
      </c>
      <c r="C78" s="27">
        <v>79</v>
      </c>
    </row>
    <row r="79" spans="2:3" x14ac:dyDescent="0.25">
      <c r="B79" s="20">
        <v>98.4</v>
      </c>
      <c r="C79" s="27">
        <v>61.5</v>
      </c>
    </row>
    <row r="80" spans="2:3" x14ac:dyDescent="0.25">
      <c r="B80" s="20">
        <v>98.6</v>
      </c>
      <c r="C80" s="27">
        <v>76</v>
      </c>
    </row>
    <row r="81" spans="2:3" x14ac:dyDescent="0.25">
      <c r="B81" s="20">
        <v>98.8</v>
      </c>
      <c r="C81" s="27">
        <v>78</v>
      </c>
    </row>
    <row r="82" spans="2:3" x14ac:dyDescent="0.25">
      <c r="B82" s="20">
        <v>98.9</v>
      </c>
      <c r="C82" s="27">
        <v>68</v>
      </c>
    </row>
    <row r="83" spans="2:3" x14ac:dyDescent="0.25">
      <c r="B83" s="20">
        <v>99</v>
      </c>
      <c r="C83" s="27">
        <v>100</v>
      </c>
    </row>
    <row r="84" spans="2:3" x14ac:dyDescent="0.25">
      <c r="B84" s="20">
        <v>99.3</v>
      </c>
      <c r="C84" s="27">
        <v>60</v>
      </c>
    </row>
    <row r="85" spans="2:3" x14ac:dyDescent="0.25">
      <c r="B85" s="20">
        <v>99.4</v>
      </c>
      <c r="C85" s="27">
        <v>81.5</v>
      </c>
    </row>
    <row r="86" spans="2:3" x14ac:dyDescent="0.25">
      <c r="B86" s="20">
        <v>100</v>
      </c>
      <c r="C86" s="27">
        <v>79.666666666666671</v>
      </c>
    </row>
    <row r="87" spans="2:3" x14ac:dyDescent="0.25">
      <c r="B87" s="20" t="s">
        <v>402</v>
      </c>
      <c r="C87" s="27">
        <v>73.5</v>
      </c>
    </row>
    <row r="88" spans="2:3" x14ac:dyDescent="0.25">
      <c r="B88" s="20" t="s">
        <v>407</v>
      </c>
      <c r="C88" s="27"/>
    </row>
    <row r="89" spans="2:3" x14ac:dyDescent="0.25">
      <c r="B89" s="20" t="s">
        <v>397</v>
      </c>
      <c r="C89" s="27">
        <v>78.10526315789474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E2BC-84EA-4B6C-9DDF-6CA6AF9FF3A2}">
  <dimension ref="A1:G120"/>
  <sheetViews>
    <sheetView tabSelected="1" topLeftCell="A19" workbookViewId="0">
      <selection activeCell="H42" sqref="H42"/>
    </sheetView>
  </sheetViews>
  <sheetFormatPr defaultRowHeight="15" x14ac:dyDescent="0.25"/>
  <cols>
    <col min="1" max="1" width="15.5703125" customWidth="1"/>
    <col min="3" max="3" width="13.28515625" customWidth="1"/>
    <col min="5" max="5" width="15.42578125" customWidth="1"/>
  </cols>
  <sheetData>
    <row r="1" spans="1:7" ht="21" x14ac:dyDescent="0.35">
      <c r="A1" s="22" t="s">
        <v>406</v>
      </c>
    </row>
    <row r="2" spans="1:7" s="24" customFormat="1" ht="12.75" x14ac:dyDescent="0.2">
      <c r="A2" s="23"/>
    </row>
    <row r="3" spans="1:7" x14ac:dyDescent="0.25">
      <c r="A3" s="3" t="s">
        <v>391</v>
      </c>
      <c r="C3" s="3" t="s">
        <v>392</v>
      </c>
      <c r="E3" s="3" t="s">
        <v>393</v>
      </c>
      <c r="G3" s="3" t="s">
        <v>403</v>
      </c>
    </row>
    <row r="4" spans="1:7" x14ac:dyDescent="0.25">
      <c r="A4" s="15">
        <f>COUNTA(Student_Outcome_Analysis!A2:A118)</f>
        <v>117</v>
      </c>
      <c r="C4" s="21">
        <f>AVERAGE(Student_Outcome_Analysis!F2:F118)</f>
        <v>91.839130434782618</v>
      </c>
      <c r="E4" s="21">
        <f>AVERAGE(Student_Outcome_Analysis!I2:I118)</f>
        <v>78.10526315789474</v>
      </c>
      <c r="G4">
        <f>COUNTIF(Student_Outcome_Analysis!F2:F118,"&lt;85")</f>
        <v>22</v>
      </c>
    </row>
    <row r="5" spans="1:7" x14ac:dyDescent="0.25">
      <c r="A5" s="15"/>
    </row>
    <row r="6" spans="1:7" x14ac:dyDescent="0.25">
      <c r="A6" s="15"/>
    </row>
    <row r="7" spans="1:7" x14ac:dyDescent="0.25">
      <c r="A7" s="15"/>
    </row>
    <row r="8" spans="1:7" x14ac:dyDescent="0.25">
      <c r="A8" s="15"/>
    </row>
    <row r="9" spans="1:7" x14ac:dyDescent="0.25">
      <c r="A9" s="15"/>
    </row>
    <row r="10" spans="1:7" x14ac:dyDescent="0.25">
      <c r="A10" s="15"/>
    </row>
    <row r="11" spans="1:7" x14ac:dyDescent="0.25">
      <c r="A11" s="15"/>
    </row>
    <row r="12" spans="1:7" x14ac:dyDescent="0.25">
      <c r="A12" s="15"/>
    </row>
    <row r="13" spans="1:7" x14ac:dyDescent="0.25">
      <c r="A13" s="15"/>
    </row>
    <row r="14" spans="1:7" x14ac:dyDescent="0.25">
      <c r="A14" s="15"/>
    </row>
    <row r="15" spans="1:7" x14ac:dyDescent="0.25">
      <c r="A15" s="15"/>
    </row>
    <row r="16" spans="1:7" x14ac:dyDescent="0.25">
      <c r="A16" s="15"/>
    </row>
    <row r="17" spans="1:1" x14ac:dyDescent="0.25">
      <c r="A17" s="15"/>
    </row>
    <row r="18" spans="1:1" x14ac:dyDescent="0.25">
      <c r="A18" s="15"/>
    </row>
    <row r="19" spans="1:1" x14ac:dyDescent="0.25">
      <c r="A19" s="15"/>
    </row>
    <row r="20" spans="1:1" x14ac:dyDescent="0.25">
      <c r="A20" s="15"/>
    </row>
    <row r="21" spans="1:1" x14ac:dyDescent="0.25">
      <c r="A21" s="15"/>
    </row>
    <row r="22" spans="1:1" x14ac:dyDescent="0.25">
      <c r="A22" s="15"/>
    </row>
    <row r="23" spans="1:1" x14ac:dyDescent="0.25">
      <c r="A23" s="15"/>
    </row>
    <row r="24" spans="1:1" x14ac:dyDescent="0.25">
      <c r="A24" s="15"/>
    </row>
    <row r="25" spans="1:1" x14ac:dyDescent="0.25">
      <c r="A25" s="15"/>
    </row>
    <row r="26" spans="1:1" x14ac:dyDescent="0.25">
      <c r="A26" s="15"/>
    </row>
    <row r="27" spans="1:1" x14ac:dyDescent="0.25">
      <c r="A27" s="15"/>
    </row>
    <row r="28" spans="1:1" x14ac:dyDescent="0.25">
      <c r="A28" s="15"/>
    </row>
    <row r="29" spans="1:1" x14ac:dyDescent="0.25">
      <c r="A29" s="15"/>
    </row>
    <row r="30" spans="1:1" x14ac:dyDescent="0.25">
      <c r="A30" s="15"/>
    </row>
    <row r="31" spans="1:1" x14ac:dyDescent="0.25">
      <c r="A31" s="15"/>
    </row>
    <row r="32" spans="1:1" x14ac:dyDescent="0.25">
      <c r="A32" s="15"/>
    </row>
    <row r="33" spans="1:1" x14ac:dyDescent="0.25">
      <c r="A33" s="15"/>
    </row>
    <row r="34" spans="1:1" x14ac:dyDescent="0.25">
      <c r="A34" s="15"/>
    </row>
    <row r="35" spans="1:1" x14ac:dyDescent="0.25">
      <c r="A35" s="15"/>
    </row>
    <row r="36" spans="1:1" x14ac:dyDescent="0.25">
      <c r="A36" s="15"/>
    </row>
    <row r="37" spans="1:1" x14ac:dyDescent="0.25">
      <c r="A37" s="15"/>
    </row>
    <row r="38" spans="1:1" x14ac:dyDescent="0.25">
      <c r="A38" s="15"/>
    </row>
    <row r="39" spans="1:1" x14ac:dyDescent="0.25">
      <c r="A39" s="15"/>
    </row>
    <row r="40" spans="1:1" x14ac:dyDescent="0.25">
      <c r="A40" s="15"/>
    </row>
    <row r="41" spans="1:1" x14ac:dyDescent="0.25">
      <c r="A41" s="15"/>
    </row>
    <row r="42" spans="1:1" x14ac:dyDescent="0.25">
      <c r="A42" s="15"/>
    </row>
    <row r="43" spans="1:1" x14ac:dyDescent="0.25">
      <c r="A43" s="15"/>
    </row>
    <row r="44" spans="1:1" x14ac:dyDescent="0.25">
      <c r="A44" s="15"/>
    </row>
    <row r="45" spans="1:1" x14ac:dyDescent="0.25">
      <c r="A45" s="15"/>
    </row>
    <row r="46" spans="1:1" x14ac:dyDescent="0.25">
      <c r="A46" s="15"/>
    </row>
    <row r="47" spans="1:1" x14ac:dyDescent="0.25">
      <c r="A47" s="15"/>
    </row>
    <row r="48" spans="1:1" x14ac:dyDescent="0.25">
      <c r="A48" s="15"/>
    </row>
    <row r="49" spans="1:1" x14ac:dyDescent="0.25">
      <c r="A49" s="15"/>
    </row>
    <row r="50" spans="1:1" x14ac:dyDescent="0.25">
      <c r="A50" s="15"/>
    </row>
    <row r="51" spans="1:1" x14ac:dyDescent="0.25">
      <c r="A51" s="15"/>
    </row>
    <row r="52" spans="1:1" x14ac:dyDescent="0.25">
      <c r="A52" s="15"/>
    </row>
    <row r="53" spans="1:1" x14ac:dyDescent="0.25">
      <c r="A53" s="15"/>
    </row>
    <row r="54" spans="1:1" x14ac:dyDescent="0.25">
      <c r="A54" s="15"/>
    </row>
    <row r="55" spans="1:1" x14ac:dyDescent="0.25">
      <c r="A55" s="15"/>
    </row>
    <row r="56" spans="1:1" x14ac:dyDescent="0.25">
      <c r="A56" s="15"/>
    </row>
    <row r="57" spans="1:1" x14ac:dyDescent="0.25">
      <c r="A57" s="15"/>
    </row>
    <row r="58" spans="1:1" x14ac:dyDescent="0.25">
      <c r="A58" s="15"/>
    </row>
    <row r="59" spans="1:1" x14ac:dyDescent="0.25">
      <c r="A59" s="15"/>
    </row>
    <row r="60" spans="1:1" x14ac:dyDescent="0.25">
      <c r="A60" s="15"/>
    </row>
    <row r="61" spans="1:1" x14ac:dyDescent="0.25">
      <c r="A61" s="15"/>
    </row>
    <row r="62" spans="1:1" x14ac:dyDescent="0.25">
      <c r="A62" s="15"/>
    </row>
    <row r="63" spans="1:1" x14ac:dyDescent="0.25">
      <c r="A63" s="15"/>
    </row>
    <row r="64" spans="1:1" x14ac:dyDescent="0.25">
      <c r="A64" s="15"/>
    </row>
    <row r="65" spans="1:1" x14ac:dyDescent="0.25">
      <c r="A65" s="15"/>
    </row>
    <row r="66" spans="1:1" x14ac:dyDescent="0.25">
      <c r="A66" s="15"/>
    </row>
    <row r="67" spans="1:1" x14ac:dyDescent="0.25">
      <c r="A67" s="15"/>
    </row>
    <row r="68" spans="1:1" x14ac:dyDescent="0.25">
      <c r="A68" s="15"/>
    </row>
    <row r="69" spans="1:1" x14ac:dyDescent="0.25">
      <c r="A69" s="15"/>
    </row>
    <row r="70" spans="1:1" x14ac:dyDescent="0.25">
      <c r="A70" s="15"/>
    </row>
    <row r="71" spans="1:1" x14ac:dyDescent="0.25">
      <c r="A71" s="15"/>
    </row>
    <row r="72" spans="1:1" x14ac:dyDescent="0.25">
      <c r="A72" s="15"/>
    </row>
    <row r="73" spans="1:1" x14ac:dyDescent="0.25">
      <c r="A73" s="15"/>
    </row>
    <row r="74" spans="1:1" x14ac:dyDescent="0.25">
      <c r="A74" s="15"/>
    </row>
    <row r="75" spans="1:1" x14ac:dyDescent="0.25">
      <c r="A75" s="15"/>
    </row>
    <row r="76" spans="1:1" x14ac:dyDescent="0.25">
      <c r="A76" s="15"/>
    </row>
    <row r="77" spans="1:1" x14ac:dyDescent="0.25">
      <c r="A77" s="15"/>
    </row>
    <row r="78" spans="1:1" x14ac:dyDescent="0.25">
      <c r="A78" s="15"/>
    </row>
    <row r="79" spans="1:1" x14ac:dyDescent="0.25">
      <c r="A79" s="15"/>
    </row>
    <row r="80" spans="1:1" x14ac:dyDescent="0.25">
      <c r="A80" s="15"/>
    </row>
    <row r="81" spans="1:1" x14ac:dyDescent="0.25">
      <c r="A81" s="15"/>
    </row>
    <row r="82" spans="1:1" x14ac:dyDescent="0.25">
      <c r="A82" s="15"/>
    </row>
    <row r="83" spans="1:1" x14ac:dyDescent="0.25">
      <c r="A83" s="15"/>
    </row>
    <row r="84" spans="1:1" x14ac:dyDescent="0.25">
      <c r="A84" s="15"/>
    </row>
    <row r="85" spans="1:1" x14ac:dyDescent="0.25">
      <c r="A85" s="15"/>
    </row>
    <row r="86" spans="1:1" x14ac:dyDescent="0.25">
      <c r="A86" s="15"/>
    </row>
    <row r="87" spans="1:1" x14ac:dyDescent="0.25">
      <c r="A87" s="15"/>
    </row>
    <row r="88" spans="1:1" x14ac:dyDescent="0.25">
      <c r="A88" s="15"/>
    </row>
    <row r="89" spans="1:1" x14ac:dyDescent="0.25">
      <c r="A89" s="15"/>
    </row>
    <row r="90" spans="1:1" x14ac:dyDescent="0.25">
      <c r="A90" s="15"/>
    </row>
    <row r="91" spans="1:1" x14ac:dyDescent="0.25">
      <c r="A91" s="15"/>
    </row>
    <row r="92" spans="1:1" x14ac:dyDescent="0.25">
      <c r="A92" s="15"/>
    </row>
    <row r="93" spans="1:1" x14ac:dyDescent="0.25">
      <c r="A93" s="15"/>
    </row>
    <row r="94" spans="1:1" x14ac:dyDescent="0.25">
      <c r="A94" s="15"/>
    </row>
    <row r="95" spans="1:1" x14ac:dyDescent="0.25">
      <c r="A95" s="15"/>
    </row>
    <row r="96" spans="1:1" x14ac:dyDescent="0.25">
      <c r="A96" s="15"/>
    </row>
    <row r="97" spans="1:1" x14ac:dyDescent="0.25">
      <c r="A97" s="15"/>
    </row>
    <row r="98" spans="1:1" x14ac:dyDescent="0.25">
      <c r="A98" s="15"/>
    </row>
    <row r="99" spans="1:1" x14ac:dyDescent="0.25">
      <c r="A99" s="15"/>
    </row>
    <row r="100" spans="1:1" x14ac:dyDescent="0.25">
      <c r="A100" s="15"/>
    </row>
    <row r="101" spans="1:1" x14ac:dyDescent="0.25">
      <c r="A101" s="15"/>
    </row>
    <row r="102" spans="1:1" x14ac:dyDescent="0.25">
      <c r="A102" s="15"/>
    </row>
    <row r="103" spans="1:1" x14ac:dyDescent="0.25">
      <c r="A103" s="15"/>
    </row>
    <row r="104" spans="1:1" x14ac:dyDescent="0.25">
      <c r="A104" s="15"/>
    </row>
    <row r="105" spans="1:1" x14ac:dyDescent="0.25">
      <c r="A105" s="15"/>
    </row>
    <row r="106" spans="1:1" x14ac:dyDescent="0.25">
      <c r="A106" s="15"/>
    </row>
    <row r="107" spans="1:1" x14ac:dyDescent="0.25">
      <c r="A107" s="15"/>
    </row>
    <row r="108" spans="1:1" x14ac:dyDescent="0.25">
      <c r="A108" s="15"/>
    </row>
    <row r="109" spans="1:1" x14ac:dyDescent="0.25">
      <c r="A109" s="15"/>
    </row>
    <row r="110" spans="1:1" x14ac:dyDescent="0.25">
      <c r="A110" s="15"/>
    </row>
    <row r="111" spans="1:1" x14ac:dyDescent="0.25">
      <c r="A111" s="15"/>
    </row>
    <row r="112" spans="1:1" x14ac:dyDescent="0.25">
      <c r="A112" s="15"/>
    </row>
    <row r="113" spans="1:1" x14ac:dyDescent="0.25">
      <c r="A113" s="15"/>
    </row>
    <row r="114" spans="1:1" x14ac:dyDescent="0.25">
      <c r="A114" s="15"/>
    </row>
    <row r="115" spans="1:1" x14ac:dyDescent="0.25">
      <c r="A115" s="15"/>
    </row>
    <row r="116" spans="1:1" x14ac:dyDescent="0.25">
      <c r="A116" s="15"/>
    </row>
    <row r="117" spans="1:1" x14ac:dyDescent="0.25">
      <c r="A117" s="15"/>
    </row>
    <row r="118" spans="1:1" x14ac:dyDescent="0.25">
      <c r="A118" s="15"/>
    </row>
    <row r="119" spans="1:1" x14ac:dyDescent="0.25">
      <c r="A119" s="15"/>
    </row>
    <row r="120" spans="1:1" x14ac:dyDescent="0.25">
      <c r="A120" s="1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7E7F-F99C-4919-9902-ECDE1FF5C6B6}">
  <dimension ref="B5:K96"/>
  <sheetViews>
    <sheetView workbookViewId="0">
      <selection activeCell="J92" sqref="J92"/>
    </sheetView>
  </sheetViews>
  <sheetFormatPr defaultRowHeight="15" x14ac:dyDescent="0.25"/>
  <sheetData>
    <row r="5" spans="2:11" x14ac:dyDescent="0.25">
      <c r="B5" s="25" t="s">
        <v>18</v>
      </c>
      <c r="C5" s="26" t="s">
        <v>392</v>
      </c>
      <c r="F5" s="25" t="s">
        <v>18</v>
      </c>
      <c r="G5" s="25" t="s">
        <v>393</v>
      </c>
      <c r="J5" s="25" t="s">
        <v>26</v>
      </c>
      <c r="K5" s="25" t="s">
        <v>399</v>
      </c>
    </row>
    <row r="6" spans="2:11" x14ac:dyDescent="0.25">
      <c r="B6" s="20">
        <v>5</v>
      </c>
      <c r="C6" s="21">
        <v>91.485185185185188</v>
      </c>
      <c r="F6" s="20">
        <v>5</v>
      </c>
      <c r="G6" s="21">
        <v>80.481481481481481</v>
      </c>
      <c r="J6" s="20" t="s">
        <v>105</v>
      </c>
      <c r="K6" s="21">
        <v>78.75</v>
      </c>
    </row>
    <row r="7" spans="2:11" x14ac:dyDescent="0.25">
      <c r="B7" s="20">
        <v>6</v>
      </c>
      <c r="C7" s="21">
        <v>91.28</v>
      </c>
      <c r="F7" s="20">
        <v>6</v>
      </c>
      <c r="G7" s="21">
        <v>75.8</v>
      </c>
      <c r="J7" s="20" t="s">
        <v>99</v>
      </c>
      <c r="K7" s="21">
        <v>74.709677419354833</v>
      </c>
    </row>
    <row r="8" spans="2:11" x14ac:dyDescent="0.25">
      <c r="B8" s="20">
        <v>7</v>
      </c>
      <c r="C8" s="21">
        <v>93.477272727272734</v>
      </c>
      <c r="F8" s="20">
        <v>7</v>
      </c>
      <c r="G8" s="21">
        <v>76.956521739130437</v>
      </c>
      <c r="J8" s="20" t="s">
        <v>94</v>
      </c>
      <c r="K8" s="21">
        <v>80.058823529411768</v>
      </c>
    </row>
    <row r="9" spans="2:11" x14ac:dyDescent="0.25">
      <c r="B9" s="20">
        <v>8</v>
      </c>
      <c r="C9" s="21">
        <v>91.534146341463412</v>
      </c>
      <c r="F9" s="20">
        <v>8</v>
      </c>
      <c r="G9" s="21">
        <v>78.615384615384613</v>
      </c>
      <c r="J9" s="20" t="s">
        <v>146</v>
      </c>
      <c r="K9" s="21">
        <v>81.7</v>
      </c>
    </row>
    <row r="14" spans="2:11" x14ac:dyDescent="0.25">
      <c r="B14" s="25" t="s">
        <v>396</v>
      </c>
      <c r="C14" s="25" t="s">
        <v>399</v>
      </c>
    </row>
    <row r="15" spans="2:11" x14ac:dyDescent="0.25">
      <c r="B15" s="20">
        <v>75</v>
      </c>
      <c r="C15" s="21">
        <v>85</v>
      </c>
    </row>
    <row r="16" spans="2:11" x14ac:dyDescent="0.25">
      <c r="B16" s="20">
        <v>75.3</v>
      </c>
      <c r="C16" s="21">
        <v>86</v>
      </c>
    </row>
    <row r="17" spans="2:3" x14ac:dyDescent="0.25">
      <c r="B17" s="20">
        <v>76.3</v>
      </c>
      <c r="C17" s="21">
        <v>100</v>
      </c>
    </row>
    <row r="18" spans="2:3" x14ac:dyDescent="0.25">
      <c r="B18" s="20">
        <v>79.2</v>
      </c>
      <c r="C18" s="21" t="e">
        <v>#DIV/0!</v>
      </c>
    </row>
    <row r="19" spans="2:3" x14ac:dyDescent="0.25">
      <c r="B19" s="20">
        <v>79.400000000000006</v>
      </c>
      <c r="C19" s="21">
        <v>69</v>
      </c>
    </row>
    <row r="20" spans="2:3" x14ac:dyDescent="0.25">
      <c r="B20" s="20">
        <v>80.400000000000006</v>
      </c>
      <c r="C20" s="21">
        <v>79</v>
      </c>
    </row>
    <row r="21" spans="2:3" x14ac:dyDescent="0.25">
      <c r="B21" s="20">
        <v>81.099999999999994</v>
      </c>
      <c r="C21" s="21">
        <v>70</v>
      </c>
    </row>
    <row r="22" spans="2:3" x14ac:dyDescent="0.25">
      <c r="B22" s="20">
        <v>81.599999999999994</v>
      </c>
      <c r="C22" s="21">
        <v>61</v>
      </c>
    </row>
    <row r="23" spans="2:3" x14ac:dyDescent="0.25">
      <c r="B23" s="20">
        <v>82.1</v>
      </c>
      <c r="C23" s="21">
        <v>89</v>
      </c>
    </row>
    <row r="24" spans="2:3" x14ac:dyDescent="0.25">
      <c r="B24" s="20">
        <v>83.3</v>
      </c>
      <c r="C24" s="21">
        <v>71</v>
      </c>
    </row>
    <row r="25" spans="2:3" x14ac:dyDescent="0.25">
      <c r="B25" s="20">
        <v>83.6</v>
      </c>
      <c r="C25" s="21">
        <v>75</v>
      </c>
    </row>
    <row r="26" spans="2:3" x14ac:dyDescent="0.25">
      <c r="B26" s="20">
        <v>83.8</v>
      </c>
      <c r="C26" s="21">
        <v>80.5</v>
      </c>
    </row>
    <row r="27" spans="2:3" x14ac:dyDescent="0.25">
      <c r="B27" s="20">
        <v>84.2</v>
      </c>
      <c r="C27" s="21">
        <v>86.5</v>
      </c>
    </row>
    <row r="28" spans="2:3" x14ac:dyDescent="0.25">
      <c r="B28" s="20">
        <v>84.4</v>
      </c>
      <c r="C28" s="21">
        <v>66</v>
      </c>
    </row>
    <row r="29" spans="2:3" x14ac:dyDescent="0.25">
      <c r="B29" s="20">
        <v>84.5</v>
      </c>
      <c r="C29" s="21">
        <v>87</v>
      </c>
    </row>
    <row r="30" spans="2:3" x14ac:dyDescent="0.25">
      <c r="B30" s="20">
        <v>84.6</v>
      </c>
      <c r="C30" s="21">
        <v>73.5</v>
      </c>
    </row>
    <row r="31" spans="2:3" x14ac:dyDescent="0.25">
      <c r="B31" s="20">
        <v>85.4</v>
      </c>
      <c r="C31" s="21">
        <v>79</v>
      </c>
    </row>
    <row r="32" spans="2:3" x14ac:dyDescent="0.25">
      <c r="B32" s="20">
        <v>85.5</v>
      </c>
      <c r="C32" s="21">
        <v>67</v>
      </c>
    </row>
    <row r="33" spans="2:3" x14ac:dyDescent="0.25">
      <c r="B33" s="20">
        <v>86.1</v>
      </c>
      <c r="C33" s="21">
        <v>72</v>
      </c>
    </row>
    <row r="34" spans="2:3" x14ac:dyDescent="0.25">
      <c r="B34" s="20">
        <v>86.3</v>
      </c>
      <c r="C34" s="21">
        <v>100</v>
      </c>
    </row>
    <row r="35" spans="2:3" x14ac:dyDescent="0.25">
      <c r="B35" s="20">
        <v>86.7</v>
      </c>
      <c r="C35" s="21">
        <v>93</v>
      </c>
    </row>
    <row r="36" spans="2:3" x14ac:dyDescent="0.25">
      <c r="B36" s="20">
        <v>87.1</v>
      </c>
      <c r="C36" s="21">
        <v>92</v>
      </c>
    </row>
    <row r="37" spans="2:3" x14ac:dyDescent="0.25">
      <c r="B37" s="20">
        <v>87.9</v>
      </c>
      <c r="C37" s="21">
        <v>87.5</v>
      </c>
    </row>
    <row r="38" spans="2:3" x14ac:dyDescent="0.25">
      <c r="B38" s="20">
        <v>88.4</v>
      </c>
      <c r="C38" s="21">
        <v>58</v>
      </c>
    </row>
    <row r="39" spans="2:3" x14ac:dyDescent="0.25">
      <c r="B39" s="20">
        <v>88.6</v>
      </c>
      <c r="C39" s="21">
        <v>81.5</v>
      </c>
    </row>
    <row r="40" spans="2:3" x14ac:dyDescent="0.25">
      <c r="B40" s="20">
        <v>88.7</v>
      </c>
      <c r="C40" s="21">
        <v>85</v>
      </c>
    </row>
    <row r="41" spans="2:3" x14ac:dyDescent="0.25">
      <c r="B41" s="20">
        <v>88.9</v>
      </c>
      <c r="C41" s="21">
        <v>74</v>
      </c>
    </row>
    <row r="42" spans="2:3" x14ac:dyDescent="0.25">
      <c r="B42" s="20">
        <v>89.1</v>
      </c>
      <c r="C42" s="21">
        <v>65</v>
      </c>
    </row>
    <row r="43" spans="2:3" x14ac:dyDescent="0.25">
      <c r="B43" s="20">
        <v>89.3</v>
      </c>
      <c r="C43" s="21">
        <v>76</v>
      </c>
    </row>
    <row r="44" spans="2:3" x14ac:dyDescent="0.25">
      <c r="B44" s="20">
        <v>89.9</v>
      </c>
      <c r="C44" s="21">
        <v>66</v>
      </c>
    </row>
    <row r="45" spans="2:3" x14ac:dyDescent="0.25">
      <c r="B45" s="20">
        <v>90</v>
      </c>
      <c r="C45" s="21">
        <v>82</v>
      </c>
    </row>
    <row r="46" spans="2:3" x14ac:dyDescent="0.25">
      <c r="B46" s="20">
        <v>90.6</v>
      </c>
      <c r="C46" s="21">
        <v>74</v>
      </c>
    </row>
    <row r="47" spans="2:3" x14ac:dyDescent="0.25">
      <c r="B47" s="20">
        <v>91.1</v>
      </c>
      <c r="C47" s="21">
        <v>78</v>
      </c>
    </row>
    <row r="48" spans="2:3" x14ac:dyDescent="0.25">
      <c r="B48" s="20">
        <v>91.2</v>
      </c>
      <c r="C48" s="21">
        <v>75</v>
      </c>
    </row>
    <row r="49" spans="2:3" x14ac:dyDescent="0.25">
      <c r="B49" s="20">
        <v>91.5</v>
      </c>
      <c r="C49" s="21">
        <v>97</v>
      </c>
    </row>
    <row r="50" spans="2:3" x14ac:dyDescent="0.25">
      <c r="B50" s="20">
        <v>91.7</v>
      </c>
      <c r="C50" s="21">
        <v>85</v>
      </c>
    </row>
    <row r="51" spans="2:3" x14ac:dyDescent="0.25">
      <c r="B51" s="20">
        <v>91.8</v>
      </c>
      <c r="C51" s="21">
        <v>85.5</v>
      </c>
    </row>
    <row r="52" spans="2:3" x14ac:dyDescent="0.25">
      <c r="B52" s="20">
        <v>92</v>
      </c>
      <c r="C52" s="21">
        <v>72</v>
      </c>
    </row>
    <row r="53" spans="2:3" x14ac:dyDescent="0.25">
      <c r="B53" s="20">
        <v>92.2</v>
      </c>
      <c r="C53" s="21">
        <v>88</v>
      </c>
    </row>
    <row r="54" spans="2:3" x14ac:dyDescent="0.25">
      <c r="B54" s="20">
        <v>92.4</v>
      </c>
      <c r="C54" s="21">
        <v>76</v>
      </c>
    </row>
    <row r="55" spans="2:3" x14ac:dyDescent="0.25">
      <c r="B55" s="20">
        <v>92.6</v>
      </c>
      <c r="C55" s="21">
        <v>88</v>
      </c>
    </row>
    <row r="56" spans="2:3" x14ac:dyDescent="0.25">
      <c r="B56" s="20">
        <v>93</v>
      </c>
      <c r="C56" s="21">
        <v>86</v>
      </c>
    </row>
    <row r="57" spans="2:3" x14ac:dyDescent="0.25">
      <c r="B57" s="20">
        <v>93.1</v>
      </c>
      <c r="C57" s="21">
        <v>81.666666666666671</v>
      </c>
    </row>
    <row r="58" spans="2:3" x14ac:dyDescent="0.25">
      <c r="B58" s="20">
        <v>93.3</v>
      </c>
      <c r="C58" s="21">
        <v>74.5</v>
      </c>
    </row>
    <row r="59" spans="2:3" x14ac:dyDescent="0.25">
      <c r="B59" s="20">
        <v>93.5</v>
      </c>
      <c r="C59" s="21">
        <v>87</v>
      </c>
    </row>
    <row r="60" spans="2:3" x14ac:dyDescent="0.25">
      <c r="B60" s="20">
        <v>93.6</v>
      </c>
      <c r="C60" s="21">
        <v>62.5</v>
      </c>
    </row>
    <row r="61" spans="2:3" x14ac:dyDescent="0.25">
      <c r="B61" s="20">
        <v>93.7</v>
      </c>
      <c r="C61" s="21">
        <v>65</v>
      </c>
    </row>
    <row r="62" spans="2:3" x14ac:dyDescent="0.25">
      <c r="B62" s="20">
        <v>93.8</v>
      </c>
      <c r="C62" s="21">
        <v>84</v>
      </c>
    </row>
    <row r="63" spans="2:3" x14ac:dyDescent="0.25">
      <c r="B63" s="20">
        <v>94</v>
      </c>
      <c r="C63" s="21">
        <v>69</v>
      </c>
    </row>
    <row r="64" spans="2:3" x14ac:dyDescent="0.25">
      <c r="B64" s="20">
        <v>94.6</v>
      </c>
      <c r="C64" s="21">
        <v>82.5</v>
      </c>
    </row>
    <row r="65" spans="2:3" x14ac:dyDescent="0.25">
      <c r="B65" s="20">
        <v>94.7</v>
      </c>
      <c r="C65" s="21">
        <v>100</v>
      </c>
    </row>
    <row r="66" spans="2:3" x14ac:dyDescent="0.25">
      <c r="B66" s="20">
        <v>94.9</v>
      </c>
      <c r="C66" s="21">
        <v>92.5</v>
      </c>
    </row>
    <row r="67" spans="2:3" x14ac:dyDescent="0.25">
      <c r="B67" s="20">
        <v>95.1</v>
      </c>
      <c r="C67" s="21">
        <v>79</v>
      </c>
    </row>
    <row r="68" spans="2:3" x14ac:dyDescent="0.25">
      <c r="B68" s="20">
        <v>95.2</v>
      </c>
      <c r="C68" s="21">
        <v>48</v>
      </c>
    </row>
    <row r="69" spans="2:3" x14ac:dyDescent="0.25">
      <c r="B69" s="20">
        <v>95.3</v>
      </c>
      <c r="C69" s="21">
        <v>64</v>
      </c>
    </row>
    <row r="70" spans="2:3" x14ac:dyDescent="0.25">
      <c r="B70" s="20">
        <v>95.4</v>
      </c>
      <c r="C70" s="21">
        <v>78</v>
      </c>
    </row>
    <row r="71" spans="2:3" x14ac:dyDescent="0.25">
      <c r="B71" s="20">
        <v>95.5</v>
      </c>
      <c r="C71" s="21">
        <v>83</v>
      </c>
    </row>
    <row r="72" spans="2:3" x14ac:dyDescent="0.25">
      <c r="B72" s="20">
        <v>95.6</v>
      </c>
      <c r="C72" s="21">
        <v>83</v>
      </c>
    </row>
    <row r="73" spans="2:3" x14ac:dyDescent="0.25">
      <c r="B73" s="20">
        <v>95.7</v>
      </c>
      <c r="C73" s="21" t="e">
        <v>#DIV/0!</v>
      </c>
    </row>
    <row r="74" spans="2:3" x14ac:dyDescent="0.25">
      <c r="B74" s="20">
        <v>95.9</v>
      </c>
      <c r="C74" s="21">
        <v>90</v>
      </c>
    </row>
    <row r="75" spans="2:3" x14ac:dyDescent="0.25">
      <c r="B75" s="20">
        <v>96</v>
      </c>
      <c r="C75" s="21">
        <v>79.5</v>
      </c>
    </row>
    <row r="76" spans="2:3" x14ac:dyDescent="0.25">
      <c r="B76" s="20">
        <v>96.2</v>
      </c>
      <c r="C76" s="21">
        <v>100</v>
      </c>
    </row>
    <row r="77" spans="2:3" x14ac:dyDescent="0.25">
      <c r="B77" s="20">
        <v>96.3</v>
      </c>
      <c r="C77" s="21">
        <v>85.5</v>
      </c>
    </row>
    <row r="78" spans="2:3" x14ac:dyDescent="0.25">
      <c r="B78" s="20">
        <v>96.8</v>
      </c>
      <c r="C78" s="21">
        <v>78</v>
      </c>
    </row>
    <row r="79" spans="2:3" x14ac:dyDescent="0.25">
      <c r="B79" s="20">
        <v>96.9</v>
      </c>
      <c r="C79" s="21">
        <v>67.5</v>
      </c>
    </row>
    <row r="80" spans="2:3" x14ac:dyDescent="0.25">
      <c r="B80" s="20">
        <v>97.2</v>
      </c>
      <c r="C80" s="21">
        <v>80</v>
      </c>
    </row>
    <row r="81" spans="2:3" x14ac:dyDescent="0.25">
      <c r="B81" s="20">
        <v>97.4</v>
      </c>
      <c r="C81" s="21">
        <v>61</v>
      </c>
    </row>
    <row r="82" spans="2:3" x14ac:dyDescent="0.25">
      <c r="B82" s="20">
        <v>97.6</v>
      </c>
      <c r="C82" s="21">
        <v>60</v>
      </c>
    </row>
    <row r="83" spans="2:3" x14ac:dyDescent="0.25">
      <c r="B83" s="20">
        <v>97.7</v>
      </c>
      <c r="C83" s="21">
        <v>77</v>
      </c>
    </row>
    <row r="84" spans="2:3" x14ac:dyDescent="0.25">
      <c r="B84" s="20">
        <v>98</v>
      </c>
      <c r="C84" s="21">
        <v>55</v>
      </c>
    </row>
    <row r="85" spans="2:3" x14ac:dyDescent="0.25">
      <c r="B85" s="20">
        <v>98.1</v>
      </c>
      <c r="C85" s="21">
        <v>83</v>
      </c>
    </row>
    <row r="86" spans="2:3" x14ac:dyDescent="0.25">
      <c r="B86" s="20">
        <v>98.2</v>
      </c>
      <c r="C86" s="21">
        <v>75</v>
      </c>
    </row>
    <row r="87" spans="2:3" x14ac:dyDescent="0.25">
      <c r="B87" s="20">
        <v>98.3</v>
      </c>
      <c r="C87" s="21">
        <v>79</v>
      </c>
    </row>
    <row r="88" spans="2:3" x14ac:dyDescent="0.25">
      <c r="B88" s="20">
        <v>98.4</v>
      </c>
      <c r="C88" s="21">
        <v>61.5</v>
      </c>
    </row>
    <row r="89" spans="2:3" x14ac:dyDescent="0.25">
      <c r="B89" s="20">
        <v>98.6</v>
      </c>
      <c r="C89" s="21">
        <v>76</v>
      </c>
    </row>
    <row r="90" spans="2:3" x14ac:dyDescent="0.25">
      <c r="B90" s="20">
        <v>98.8</v>
      </c>
      <c r="C90" s="21">
        <v>78</v>
      </c>
    </row>
    <row r="91" spans="2:3" x14ac:dyDescent="0.25">
      <c r="B91" s="20">
        <v>98.9</v>
      </c>
      <c r="C91" s="21">
        <v>68</v>
      </c>
    </row>
    <row r="92" spans="2:3" x14ac:dyDescent="0.25">
      <c r="B92" s="20">
        <v>99</v>
      </c>
      <c r="C92" s="21">
        <v>100</v>
      </c>
    </row>
    <row r="93" spans="2:3" x14ac:dyDescent="0.25">
      <c r="B93" s="20">
        <v>99.3</v>
      </c>
      <c r="C93" s="21">
        <v>60</v>
      </c>
    </row>
    <row r="94" spans="2:3" x14ac:dyDescent="0.25">
      <c r="B94" s="20">
        <v>99.4</v>
      </c>
      <c r="C94" s="21">
        <v>81.5</v>
      </c>
    </row>
    <row r="95" spans="2:3" x14ac:dyDescent="0.25">
      <c r="B95" s="20">
        <v>100</v>
      </c>
      <c r="C95" s="21">
        <v>79.666666666666671</v>
      </c>
    </row>
    <row r="96" spans="2:3" x14ac:dyDescent="0.25">
      <c r="B96" s="20" t="s">
        <v>402</v>
      </c>
      <c r="C96" s="21">
        <v>73.5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Data_Dictionary</vt:lpstr>
      <vt:lpstr>Data_Model1</vt:lpstr>
      <vt:lpstr>Student_Analysis_Ready</vt:lpstr>
      <vt:lpstr>Attendence_Analysis_Ready</vt:lpstr>
      <vt:lpstr>Assessment_Analysis_Ready</vt:lpstr>
      <vt:lpstr>Discipline_Analysis_Ready</vt:lpstr>
      <vt:lpstr>Data_Quality_Log</vt:lpstr>
      <vt:lpstr>Student_Outcome_Analysis</vt:lpstr>
      <vt:lpstr>Grade Analysis</vt:lpstr>
      <vt:lpstr>Program Analysis</vt:lpstr>
      <vt:lpstr>Attendance VS Assessment</vt:lpstr>
      <vt:lpstr>Leadership Dashboard</vt:lpstr>
      <vt:lpstr>Dashboard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Tarini Akula Ramesh</dc:creator>
  <cp:lastModifiedBy>Tarini Akula Ramesh</cp:lastModifiedBy>
  <dcterms:created xsi:type="dcterms:W3CDTF">2026-08-23T16:27:11Z</dcterms:created>
  <dcterms:modified xsi:type="dcterms:W3CDTF">2026-08-24T15:02:44Z</dcterms:modified>
</cp:coreProperties>
</file>